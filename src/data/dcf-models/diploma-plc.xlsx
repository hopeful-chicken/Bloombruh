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" sheetId="1" state="visible" r:id="rId1"/>
    <sheet xmlns:r="http://schemas.openxmlformats.org/officeDocument/2006/relationships" name="Scenarios" sheetId="2" state="visible" r:id="rId2"/>
    <sheet xmlns:r="http://schemas.openxmlformats.org/officeDocument/2006/relationships" name="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#,##0.0"/>
    <numFmt numFmtId="166" formatCode="0.0%"/>
    <numFmt numFmtId="167" formatCode="0.000"/>
    <numFmt numFmtId="168" formatCode="0.00x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8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26241F"/>
      </patternFill>
    </fill>
    <fill>
      <patternFill patternType="solid">
        <fgColor rgb="006F6B60"/>
      </patternFill>
    </fill>
    <fill>
      <patternFill patternType="solid">
        <fgColor rgb="00FFFF00"/>
      </patternFill>
    </fill>
    <fill>
      <patternFill patternType="solid">
        <fgColor rgb="00F3F1EA"/>
      </patternFill>
    </fill>
    <fill>
      <patternFill patternType="solid">
        <fgColor rgb="00BC5B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4" fontId="5" fillId="4" borderId="0" pivotButton="0" quotePrefix="0" xfId="0"/>
    <xf numFmtId="0" fontId="2" fillId="0" borderId="0" applyAlignment="1" pivotButton="0" quotePrefix="0" xfId="0">
      <alignment vertical="top" wrapText="1"/>
    </xf>
    <xf numFmtId="164" fontId="5" fillId="4" borderId="0" pivotButton="0" quotePrefix="0" xfId="0"/>
    <xf numFmtId="4" fontId="6" fillId="0" borderId="0" pivotButton="0" quotePrefix="0" xfId="0"/>
    <xf numFmtId="165" fontId="5" fillId="4" borderId="0" pivotButton="0" quotePrefix="0" xfId="0"/>
    <xf numFmtId="2" fontId="5" fillId="4" borderId="0" pivotButton="0" quotePrefix="0" xfId="0"/>
    <xf numFmtId="166" fontId="5" fillId="4" borderId="0" pivotButton="0" quotePrefix="0" xfId="0"/>
    <xf numFmtId="166" fontId="6" fillId="0" borderId="0" pivotButton="0" quotePrefix="0" xfId="0"/>
    <xf numFmtId="3" fontId="6" fillId="0" borderId="0" pivotButton="0" quotePrefix="0" xfId="0"/>
    <xf numFmtId="3" fontId="4" fillId="0" borderId="0" pivotButton="0" quotePrefix="0" xfId="0"/>
    <xf numFmtId="166" fontId="4" fillId="0" borderId="0" pivotButton="0" quotePrefix="0" xfId="0"/>
    <xf numFmtId="0" fontId="6" fillId="5" borderId="0" pivotButton="0" quotePrefix="0" xfId="0"/>
    <xf numFmtId="166" fontId="6" fillId="5" borderId="0" pivotButton="0" quotePrefix="0" xfId="0"/>
    <xf numFmtId="0" fontId="6" fillId="0" borderId="0" pivotButton="0" quotePrefix="0" xfId="0"/>
    <xf numFmtId="3" fontId="5" fillId="4" borderId="0" pivotButton="0" quotePrefix="0" xfId="0"/>
    <xf numFmtId="3" fontId="6" fillId="5" borderId="0" pivotButton="0" quotePrefix="0" xfId="0"/>
    <xf numFmtId="1" fontId="4" fillId="0" borderId="0" pivotButton="0" quotePrefix="0" xfId="0"/>
    <xf numFmtId="167" fontId="4" fillId="0" borderId="0" pivotButton="0" quotePrefix="0" xfId="0"/>
    <xf numFmtId="0" fontId="7" fillId="6" borderId="0" pivotButton="0" quotePrefix="0" xfId="0"/>
    <xf numFmtId="4" fontId="7" fillId="6" borderId="0" pivotButton="0" quotePrefix="0" xfId="0"/>
    <xf numFmtId="0" fontId="1" fillId="2" borderId="0" pivotButton="0" quotePrefix="0" xfId="0"/>
    <xf numFmtId="168" fontId="5" fillId="4" borderId="0" pivotButton="0" quotePrefix="0" xfId="0"/>
    <xf numFmtId="168" fontId="4" fillId="0" borderId="0" pivotButton="0" quotePrefix="0" xfId="0"/>
    <xf numFmtId="4" fontId="4" fillId="0" borderId="0" pivotButton="0" quotePrefix="0" xfId="0"/>
    <xf numFmtId="4" fontId="2" fillId="0" borderId="0" pivotButton="0" quotePrefix="0" xfId="0"/>
    <xf numFmtId="0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Diploma PLC — Implied Share Price by Scenario</a:t>
            </a:r>
          </a:p>
        </rich>
      </tx>
    </title>
    <plotArea>
      <barChart>
        <barDir val="col"/>
        <grouping val="clustered"/>
        <ser>
          <idx val="0"/>
          <order val="0"/>
          <tx>
            <v>Implied Share Price</v>
          </tx>
          <spPr>
            <a:solidFill xmlns:a="http://schemas.openxmlformats.org/drawingml/2006/main">
              <a:srgbClr val="BC5B33"/>
            </a:solidFill>
            <a:ln xmlns:a="http://schemas.openxmlformats.org/drawingml/2006/main">
              <a:prstDash val="solid"/>
            </a:ln>
          </spPr>
          <cat>
            <numRef>
              <f>'Scenarios'!$B$4:$D$4</f>
            </numRef>
          </cat>
          <val>
            <numRef>
              <f>'Scenarios'!$B$25:$D$25</f>
            </numRef>
          </val>
        </ser>
        <ser>
          <idx val="1"/>
          <order val="1"/>
          <tx>
            <v>Current Share Price</v>
          </tx>
          <spPr>
            <a:solidFill xmlns:a="http://schemas.openxmlformats.org/drawingml/2006/main">
              <a:srgbClr val="6F6B60"/>
            </a:solidFill>
            <a:ln xmlns:a="http://schemas.openxmlformats.org/drawingml/2006/main">
              <a:prstDash val="solid"/>
            </a:ln>
          </spPr>
          <cat>
            <numRef>
              <f>'Scenarios'!$B$4:$D$4</f>
            </numRef>
          </cat>
          <val>
            <numRef>
              <f>'Scenarios'!$B$27:$D$27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Scenario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Price (£)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29</row>
      <rowOff>0</rowOff>
    </from>
    <ext cx="576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42" customWidth="1" min="8" max="8"/>
  </cols>
  <sheetData>
    <row r="1" ht="26" customHeight="1">
      <c r="A1" s="1" t="inlineStr">
        <is>
          <t>Diploma PLC (LSE: DPLM) — DCF Valuation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Bloombruh — GBP millions unless noted; share price in pence (p) | Compiled Aug 2026, real sourced inputs (see Sources tab)</t>
        </is>
      </c>
    </row>
    <row r="3"/>
    <row r="4">
      <c r="A4" s="4" t="inlineStr">
        <is>
          <t>Key Assumptions &amp; WACC</t>
        </is>
      </c>
      <c r="B4" s="5" t="n"/>
      <c r="C4" s="5" t="n"/>
      <c r="D4" s="5" t="n"/>
      <c r="E4" s="5" t="n"/>
      <c r="F4" s="5" t="n"/>
      <c r="G4" s="5" t="n"/>
    </row>
    <row r="5">
      <c r="A5" s="6" t="inlineStr">
        <is>
          <t>Current Share Price (p, as quoted)</t>
        </is>
      </c>
      <c r="B5" s="7" t="n">
        <v>7525</v>
      </c>
      <c r="C5" s="8" t="inlineStr">
        <is>
          <t>7,525p as of 22 Jul 2026 (stockanalysis.com / site pitch)</t>
        </is>
      </c>
    </row>
    <row r="6">
      <c r="A6" s="6" t="inlineStr">
        <is>
          <t>Price Conversion Factor</t>
        </is>
      </c>
      <c r="B6" s="9" t="n">
        <v>100</v>
      </c>
      <c r="C6" s="8" t="inlineStr">
        <is>
          <t>Quoted price ÷ this factor = price in the model's working currency (matches the currency revenue/net debt are modeled in below). 1.0 where quoted price and model currency already match.</t>
        </is>
      </c>
    </row>
    <row r="7">
      <c r="A7" s="6" t="inlineStr">
        <is>
          <t>Current Share Price (model currency)</t>
        </is>
      </c>
      <c r="B7" s="10">
        <f>B5/B6</f>
        <v/>
      </c>
      <c r="C7" s="8">
        <f> Quoted price ÷ conversion factor — this is the figure the market-cap and equity-bridge math below actually uses, so units stay consistent with revenue/net debt</f>
        <v/>
      </c>
    </row>
    <row r="8">
      <c r="A8" s="6" t="inlineStr">
        <is>
          <t>Shares Outstanding (m)</t>
        </is>
      </c>
      <c r="B8" s="11" t="n">
        <v>134.09</v>
      </c>
      <c r="C8" s="8" t="inlineStr">
        <is>
          <t>134.09m (stockanalysis.com, Aug 2026)</t>
        </is>
      </c>
    </row>
    <row r="9">
      <c r="A9" s="6" t="inlineStr">
        <is>
          <t>Net Debt (Net Cash if negative)</t>
        </is>
      </c>
      <c r="B9" s="11" t="n">
        <v>383.2</v>
      </c>
      <c r="C9" s="8" t="inlineStr">
        <is>
          <t>Net debt £383.2m (cash £81.7m, debt £464.9m) — stockanalysis.com</t>
        </is>
      </c>
    </row>
    <row r="10">
      <c r="A10" s="6" t="inlineStr">
        <is>
          <t>Beta</t>
        </is>
      </c>
      <c r="B10" s="12" t="n">
        <v>1.04</v>
      </c>
      <c r="C10" s="8" t="inlineStr">
        <is>
          <t>1.04 (stockanalysis.com)</t>
        </is>
      </c>
    </row>
    <row r="11">
      <c r="A11" s="6" t="inlineStr">
        <is>
          <t>Risk-Free Rate</t>
        </is>
      </c>
      <c r="B11" s="13" t="n">
        <v>0.0499</v>
      </c>
      <c r="C11" s="8" t="inlineStr">
        <is>
          <t>UK 10-year gilt yield, 4.99% (4 Aug 2026, tradingeconomics.com)</t>
        </is>
      </c>
    </row>
    <row r="12">
      <c r="A12" s="6" t="inlineStr">
        <is>
          <t>Equity Risk Premium</t>
        </is>
      </c>
      <c r="B12" s="13" t="n">
        <v>0.05</v>
      </c>
      <c r="C12" s="8" t="inlineStr">
        <is>
          <t>Standard mature-market equity risk premium assumption (~5%, Damodaran-style)</t>
        </is>
      </c>
    </row>
    <row r="13">
      <c r="A13" s="6" t="inlineStr">
        <is>
          <t>Cost of Equity (CAPM)</t>
        </is>
      </c>
      <c r="B13" s="14">
        <f>B11+B10*B12</f>
        <v/>
      </c>
      <c r="C13" s="8">
        <f> Risk-free rate + Beta x Equity Risk Premium</f>
        <v/>
      </c>
    </row>
    <row r="14">
      <c r="A14" s="6" t="inlineStr">
        <is>
          <t>Pre-Tax Cost of Debt</t>
        </is>
      </c>
      <c r="B14" s="13" t="n">
        <v>0.058</v>
      </c>
      <c r="C14" s="8" t="inlineStr">
        <is>
          <t>Modeled: UK gilt yield + ~80bp investment-grade spread (assumption, not quoted)</t>
        </is>
      </c>
    </row>
    <row r="15">
      <c r="A15" s="6" t="inlineStr">
        <is>
          <t>Tax Rate</t>
        </is>
      </c>
      <c r="B15" s="13" t="n">
        <v>0.25</v>
      </c>
      <c r="C15" s="8" t="inlineStr">
        <is>
          <t>UK statutory corporate tax rate, 25%</t>
        </is>
      </c>
    </row>
    <row r="16">
      <c r="A16" s="6" t="inlineStr">
        <is>
          <t>After-Tax Cost of Debt</t>
        </is>
      </c>
      <c r="B16" s="14">
        <f>B14*(1-B15)</f>
        <v/>
      </c>
    </row>
    <row r="17">
      <c r="A17" s="6" t="inlineStr">
        <is>
          <t>Market Capitalization</t>
        </is>
      </c>
      <c r="B17" s="15">
        <f>B7*B8</f>
        <v/>
      </c>
      <c r="C17" s="8">
        <f> Current Share Price (model currency) x Shares Outstanding — uses the model-currency price so units match revenue/net debt below</f>
        <v/>
      </c>
    </row>
    <row r="18">
      <c r="A18" s="6" t="inlineStr">
        <is>
          <t>Debt (for WACC weighting)</t>
        </is>
      </c>
      <c r="B18" s="16">
        <f>MAX(B9,0)</f>
        <v/>
      </c>
      <c r="C18" s="8" t="inlineStr">
        <is>
          <t>Simplification: uses net debt (0 if net cash) rather than gross debt, since several names here carry net-cash positions where gross debt is not a meaningful weight</t>
        </is>
      </c>
    </row>
    <row r="19">
      <c r="A19" s="6" t="inlineStr">
        <is>
          <t>Total Capital (E + D)</t>
        </is>
      </c>
      <c r="B19" s="16">
        <f>B17+B18</f>
        <v/>
      </c>
    </row>
    <row r="20">
      <c r="A20" s="6" t="inlineStr">
        <is>
          <t>Weight of Equity</t>
        </is>
      </c>
      <c r="B20" s="17">
        <f>B17/B19</f>
        <v/>
      </c>
    </row>
    <row r="21">
      <c r="A21" s="6" t="inlineStr">
        <is>
          <t>Weight of Debt</t>
        </is>
      </c>
      <c r="B21" s="17">
        <f>B18/B19</f>
        <v/>
      </c>
    </row>
    <row r="22">
      <c r="A22" s="18" t="inlineStr">
        <is>
          <t>WACC</t>
        </is>
      </c>
      <c r="B22" s="19">
        <f>B20*B13+B21*B16</f>
        <v/>
      </c>
    </row>
    <row r="23"/>
    <row r="24">
      <c r="A24" s="4" t="inlineStr">
        <is>
          <t>Revenue &amp; Free Cash Flow Build</t>
        </is>
      </c>
      <c r="B24" s="5" t="n"/>
      <c r="C24" s="5" t="n"/>
      <c r="D24" s="5" t="n"/>
      <c r="E24" s="5" t="n"/>
      <c r="F24" s="5" t="n"/>
      <c r="G24" s="5" t="n"/>
    </row>
    <row r="25">
      <c r="A25" s="6" t="inlineStr">
        <is>
          <t>Fiscal Year</t>
        </is>
      </c>
      <c r="B25" s="20" t="inlineStr">
        <is>
          <t>FY0 (Actual)</t>
        </is>
      </c>
      <c r="C25" s="20" t="inlineStr">
        <is>
          <t>FY+1</t>
        </is>
      </c>
      <c r="D25" s="20" t="inlineStr">
        <is>
          <t>FY+2</t>
        </is>
      </c>
      <c r="E25" s="20" t="inlineStr">
        <is>
          <t>FY+3</t>
        </is>
      </c>
      <c r="F25" s="20" t="inlineStr">
        <is>
          <t>FY+4</t>
        </is>
      </c>
      <c r="G25" s="20" t="inlineStr">
        <is>
          <t>FY+5</t>
        </is>
      </c>
    </row>
    <row r="26">
      <c r="A26" s="6" t="inlineStr">
        <is>
          <t>Revenue Growth %</t>
        </is>
      </c>
      <c r="B26" s="6" t="inlineStr">
        <is>
          <t>—</t>
        </is>
      </c>
      <c r="C26" s="13" t="n">
        <v>0.17</v>
      </c>
      <c r="D26" s="13" t="n">
        <v>0.14</v>
      </c>
      <c r="E26" s="13" t="n">
        <v>0.11</v>
      </c>
      <c r="F26" s="13" t="n">
        <v>0.09</v>
      </c>
      <c r="G26" s="13" t="n">
        <v>0.07000000000000001</v>
      </c>
    </row>
    <row r="27">
      <c r="A27" s="8" t="inlineStr">
        <is>
          <t>Y1 from Q1 FY26 reported growth (+17%); tapering toward a mid-single-digit long-run rate as the Peerless/PAR bolt-ons annualize</t>
        </is>
      </c>
    </row>
    <row r="28">
      <c r="A28" s="20" t="inlineStr">
        <is>
          <t>Revenue</t>
        </is>
      </c>
      <c r="B28" s="21" t="n">
        <v>1524.5</v>
      </c>
      <c r="C28" s="15">
        <f>B28*(1+C26)</f>
        <v/>
      </c>
      <c r="D28" s="15">
        <f>C28*(1+D26)</f>
        <v/>
      </c>
      <c r="E28" s="15">
        <f>D28*(1+E26)</f>
        <v/>
      </c>
      <c r="F28" s="15">
        <f>E28*(1+F26)</f>
        <v/>
      </c>
      <c r="G28" s="15">
        <f>F28*(1+G26)</f>
        <v/>
      </c>
    </row>
    <row r="29">
      <c r="A29" s="8" t="inlineStr">
        <is>
          <t>FY2025 revenue £1,524.5m (Diploma FY25 results, 18 Nov 2025)</t>
        </is>
      </c>
    </row>
    <row r="30">
      <c r="A30" s="6" t="inlineStr">
        <is>
          <t>Operating Margin %</t>
        </is>
      </c>
      <c r="B30" s="13" t="n">
        <v>0.225</v>
      </c>
      <c r="C30" s="13" t="n">
        <v>0.235</v>
      </c>
      <c r="D30" s="13" t="n">
        <v>0.24</v>
      </c>
      <c r="E30" s="13" t="n">
        <v>0.24</v>
      </c>
      <c r="F30" s="13" t="n">
        <v>0.245</v>
      </c>
      <c r="G30" s="13" t="n">
        <v>0.245</v>
      </c>
    </row>
    <row r="31">
      <c r="A31" s="8" t="inlineStr">
        <is>
          <t>Modeled expanding toward FY26 guidance (&gt;30% operating PROFIT growth, i.e. margin expansion, not just revenue growth) | FY2025 operating margin 22.5% (£342.7m op. profit / £1,524.5m revenue)</t>
        </is>
      </c>
    </row>
    <row r="32">
      <c r="A32" s="6" t="inlineStr">
        <is>
          <t>EBIT</t>
        </is>
      </c>
      <c r="B32" s="16">
        <f>B28*B30</f>
        <v/>
      </c>
      <c r="C32" s="16">
        <f>C28*C30</f>
        <v/>
      </c>
      <c r="D32" s="16">
        <f>D28*D30</f>
        <v/>
      </c>
      <c r="E32" s="16">
        <f>E28*E30</f>
        <v/>
      </c>
      <c r="F32" s="16">
        <f>F28*F30</f>
        <v/>
      </c>
      <c r="G32" s="16">
        <f>G28*G30</f>
        <v/>
      </c>
    </row>
    <row r="33">
      <c r="A33" s="6" t="inlineStr">
        <is>
          <t>Less: Tax on EBIT</t>
        </is>
      </c>
      <c r="B33" s="16">
        <f>-B32*$B$15</f>
        <v/>
      </c>
      <c r="C33" s="16">
        <f>-C32*$B$15</f>
        <v/>
      </c>
      <c r="D33" s="16">
        <f>-D32*$B$15</f>
        <v/>
      </c>
      <c r="E33" s="16">
        <f>-E32*$B$15</f>
        <v/>
      </c>
      <c r="F33" s="16">
        <f>-F32*$B$15</f>
        <v/>
      </c>
      <c r="G33" s="16">
        <f>-G32*$B$15</f>
        <v/>
      </c>
    </row>
    <row r="34">
      <c r="A34" s="20" t="inlineStr">
        <is>
          <t>NOPAT</t>
        </is>
      </c>
      <c r="B34" s="15">
        <f>B32+B33</f>
        <v/>
      </c>
      <c r="C34" s="15">
        <f>C32+C33</f>
        <v/>
      </c>
      <c r="D34" s="15">
        <f>D32+D33</f>
        <v/>
      </c>
      <c r="E34" s="15">
        <f>E32+E33</f>
        <v/>
      </c>
      <c r="F34" s="15">
        <f>F32+F33</f>
        <v/>
      </c>
      <c r="G34" s="15">
        <f>G32+G33</f>
        <v/>
      </c>
    </row>
    <row r="35">
      <c r="A35" s="6" t="inlineStr">
        <is>
          <t>D&amp;A (% of revenue)</t>
        </is>
      </c>
      <c r="B35" s="13" t="n">
        <v>0.02</v>
      </c>
      <c r="C35" s="13" t="n">
        <v>0.02</v>
      </c>
      <c r="D35" s="13" t="n">
        <v>0.02</v>
      </c>
      <c r="E35" s="13" t="n">
        <v>0.02</v>
      </c>
      <c r="F35" s="13" t="n">
        <v>0.02</v>
      </c>
      <c r="G35" s="13" t="n">
        <v>0.02</v>
      </c>
    </row>
    <row r="36">
      <c r="A36" s="6" t="inlineStr">
        <is>
          <t>Plus: D&amp;A</t>
        </is>
      </c>
      <c r="B36" s="16">
        <f>B28*B35</f>
        <v/>
      </c>
      <c r="C36" s="16">
        <f>C28*C35</f>
        <v/>
      </c>
      <c r="D36" s="16">
        <f>D28*D35</f>
        <v/>
      </c>
      <c r="E36" s="16">
        <f>E28*E35</f>
        <v/>
      </c>
      <c r="F36" s="16">
        <f>F28*F35</f>
        <v/>
      </c>
      <c r="G36" s="16">
        <f>G28*G35</f>
        <v/>
      </c>
    </row>
    <row r="37">
      <c r="A37" s="6" t="inlineStr">
        <is>
          <t>Capex (% of revenue)</t>
        </is>
      </c>
      <c r="B37" s="13" t="n">
        <v>0.025</v>
      </c>
      <c r="C37" s="13" t="n">
        <v>0.025</v>
      </c>
      <c r="D37" s="13" t="n">
        <v>0.025</v>
      </c>
      <c r="E37" s="13" t="n">
        <v>0.025</v>
      </c>
      <c r="F37" s="13" t="n">
        <v>0.025</v>
      </c>
      <c r="G37" s="13" t="n">
        <v>0.025</v>
      </c>
    </row>
    <row r="38">
      <c r="A38" s="6" t="inlineStr">
        <is>
          <t>Less: Capex</t>
        </is>
      </c>
      <c r="B38" s="16">
        <f>-B28*B37</f>
        <v/>
      </c>
      <c r="C38" s="16">
        <f>-C28*C37</f>
        <v/>
      </c>
      <c r="D38" s="16">
        <f>-D28*D37</f>
        <v/>
      </c>
      <c r="E38" s="16">
        <f>-E28*E37</f>
        <v/>
      </c>
      <c r="F38" s="16">
        <f>-F28*F37</f>
        <v/>
      </c>
      <c r="G38" s="16">
        <f>-G28*G37</f>
        <v/>
      </c>
    </row>
    <row r="39">
      <c r="A39" s="6" t="inlineStr">
        <is>
          <t>Incremental NWC (% of revenue growth)</t>
        </is>
      </c>
      <c r="B39" s="17" t="n">
        <v>0</v>
      </c>
      <c r="C39" s="13" t="n">
        <v>0.005</v>
      </c>
      <c r="D39" s="13" t="n">
        <v>0.005</v>
      </c>
      <c r="E39" s="13" t="n">
        <v>0.005</v>
      </c>
      <c r="F39" s="13" t="n">
        <v>0.005</v>
      </c>
      <c r="G39" s="13" t="n">
        <v>0.005</v>
      </c>
    </row>
    <row r="40">
      <c r="A40" s="6" t="inlineStr">
        <is>
          <t>Less: Increase in NWC</t>
        </is>
      </c>
      <c r="B40" s="16">
        <f>0</f>
        <v/>
      </c>
      <c r="C40" s="16">
        <f>-(C28-B28)*C39</f>
        <v/>
      </c>
      <c r="D40" s="16">
        <f>-(D28-C28)*D39</f>
        <v/>
      </c>
      <c r="E40" s="16">
        <f>-(E28-D28)*E39</f>
        <v/>
      </c>
      <c r="F40" s="16">
        <f>-(F28-E28)*F39</f>
        <v/>
      </c>
      <c r="G40" s="16">
        <f>-(G28-F28)*G39</f>
        <v/>
      </c>
    </row>
    <row r="41">
      <c r="A41" s="20" t="inlineStr">
        <is>
          <t>Unlevered Free Cash Flow</t>
        </is>
      </c>
      <c r="B41" s="22">
        <f>B34+B36+B38+B40</f>
        <v/>
      </c>
      <c r="C41" s="22">
        <f>C34+C36+C38+C40</f>
        <v/>
      </c>
      <c r="D41" s="22">
        <f>D34+D36+D38+D40</f>
        <v/>
      </c>
      <c r="E41" s="22">
        <f>E34+E36+E38+E40</f>
        <v/>
      </c>
      <c r="F41" s="22">
        <f>F34+F36+F38+F40</f>
        <v/>
      </c>
      <c r="G41" s="22">
        <f>G34+G36+G38+G40</f>
        <v/>
      </c>
    </row>
    <row r="42"/>
    <row r="43">
      <c r="A43" s="4" t="inlineStr">
        <is>
          <t>Discounting &amp; Valuation</t>
        </is>
      </c>
      <c r="B43" s="5" t="n"/>
      <c r="C43" s="5" t="n"/>
      <c r="D43" s="5" t="n"/>
      <c r="E43" s="5" t="n"/>
      <c r="F43" s="5" t="n"/>
      <c r="G43" s="5" t="n"/>
    </row>
    <row r="44">
      <c r="A44" s="6" t="inlineStr">
        <is>
          <t>Discount Period</t>
        </is>
      </c>
      <c r="C44" s="23" t="n">
        <v>1</v>
      </c>
      <c r="D44" s="23" t="n">
        <v>2</v>
      </c>
      <c r="E44" s="23" t="n">
        <v>3</v>
      </c>
      <c r="F44" s="23" t="n">
        <v>4</v>
      </c>
      <c r="G44" s="23" t="n">
        <v>5</v>
      </c>
    </row>
    <row r="45">
      <c r="A45" s="6" t="inlineStr">
        <is>
          <t>Discount Factor</t>
        </is>
      </c>
      <c r="C45" s="24">
        <f>1/(1+$B$22)^C44</f>
        <v/>
      </c>
      <c r="D45" s="24">
        <f>1/(1+$B$22)^D44</f>
        <v/>
      </c>
      <c r="E45" s="24">
        <f>1/(1+$B$22)^E44</f>
        <v/>
      </c>
      <c r="F45" s="24">
        <f>1/(1+$B$22)^F44</f>
        <v/>
      </c>
      <c r="G45" s="24">
        <f>1/(1+$B$22)^G44</f>
        <v/>
      </c>
    </row>
    <row r="46">
      <c r="A46" s="6" t="inlineStr">
        <is>
          <t>PV of FCF</t>
        </is>
      </c>
      <c r="C46" s="16">
        <f>C41*C45</f>
        <v/>
      </c>
      <c r="D46" s="16">
        <f>D41*D45</f>
        <v/>
      </c>
      <c r="E46" s="16">
        <f>E41*E45</f>
        <v/>
      </c>
      <c r="F46" s="16">
        <f>F41*F45</f>
        <v/>
      </c>
      <c r="G46" s="16">
        <f>G41*G45</f>
        <v/>
      </c>
    </row>
    <row r="47">
      <c r="A47" s="20" t="inlineStr">
        <is>
          <t>Sum of PV of FCF (Yr 1-5)</t>
        </is>
      </c>
      <c r="B47" s="15">
        <f>SUM(C46:G46)</f>
        <v/>
      </c>
    </row>
    <row r="48">
      <c r="A48" s="6" t="inlineStr">
        <is>
          <t>Terminal Growth Rate</t>
        </is>
      </c>
      <c r="B48" s="13" t="n">
        <v>0.025</v>
      </c>
      <c r="C48" s="8" t="inlineStr">
        <is>
          <t>Modeled long-run growth assumption — see Sources tab</t>
        </is>
      </c>
    </row>
    <row r="49">
      <c r="A49" s="6" t="inlineStr">
        <is>
          <t>Terminal Value (Gordon Growth)</t>
        </is>
      </c>
      <c r="B49" s="16">
        <f>G41*(1+B48)/(B22-B48)</f>
        <v/>
      </c>
      <c r="C49" s="8">
        <f> Year-5 FCF x (1 + terminal growth) / (WACC - terminal growth)</f>
        <v/>
      </c>
    </row>
    <row r="50">
      <c r="A50" s="6" t="inlineStr">
        <is>
          <t>PV of Terminal Value</t>
        </is>
      </c>
      <c r="B50" s="16">
        <f>B49*G45</f>
        <v/>
      </c>
    </row>
    <row r="51">
      <c r="A51" s="18" t="inlineStr">
        <is>
          <t>Enterprise Value</t>
        </is>
      </c>
      <c r="B51" s="22">
        <f>B47+B50</f>
        <v/>
      </c>
    </row>
    <row r="52">
      <c r="A52" s="6" t="inlineStr">
        <is>
          <t>Less: Net Debt</t>
        </is>
      </c>
      <c r="B52" s="16">
        <f>-B9</f>
        <v/>
      </c>
    </row>
    <row r="53">
      <c r="A53" s="20" t="inlineStr">
        <is>
          <t>Equity Value</t>
        </is>
      </c>
      <c r="B53" s="15">
        <f>B51+B52</f>
        <v/>
      </c>
    </row>
    <row r="54">
      <c r="A54" s="6" t="inlineStr">
        <is>
          <t>Implied Share Price (model currency)</t>
        </is>
      </c>
      <c r="B54" s="10">
        <f>B53/B8</f>
        <v/>
      </c>
    </row>
    <row r="55">
      <c r="A55" s="25" t="inlineStr">
        <is>
          <t>Implied Share Price (p, quoted units)</t>
        </is>
      </c>
      <c r="B55" s="26">
        <f>B54*B6</f>
        <v/>
      </c>
      <c r="C55" s="8">
        <f> Implied price (model currency) x conversion factor — directly comparable to the quoted current price above</f>
        <v/>
      </c>
    </row>
    <row r="56">
      <c r="A56" s="20" t="inlineStr">
        <is>
          <t>Upside / (Downside) vs. Current Price</t>
        </is>
      </c>
      <c r="B56" s="14">
        <f>B55/B5-1</f>
        <v/>
      </c>
    </row>
    <row r="57"/>
  </sheetData>
  <mergeCells count="21">
    <mergeCell ref="C49:G49"/>
    <mergeCell ref="C6:G6"/>
    <mergeCell ref="C15:G15"/>
    <mergeCell ref="C5:G5"/>
    <mergeCell ref="A29:G29"/>
    <mergeCell ref="C14:G14"/>
    <mergeCell ref="A31:G31"/>
    <mergeCell ref="C10:G10"/>
    <mergeCell ref="C55:G55"/>
    <mergeCell ref="C9:G9"/>
    <mergeCell ref="A1:G1"/>
    <mergeCell ref="C12:G12"/>
    <mergeCell ref="C11:G11"/>
    <mergeCell ref="C8:G8"/>
    <mergeCell ref="C48:G48"/>
    <mergeCell ref="C17:G17"/>
    <mergeCell ref="C7:G7"/>
    <mergeCell ref="A27:G27"/>
    <mergeCell ref="A2:G2"/>
    <mergeCell ref="C13:G13"/>
    <mergeCell ref="C18:G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40" customWidth="1" min="5" max="5"/>
  </cols>
  <sheetData>
    <row r="1" ht="26" customHeight="1">
      <c r="A1" s="27" t="inlineStr">
        <is>
          <t>Diploma PLC — Bear / Base / Bull Scenario Valuation</t>
        </is>
      </c>
      <c r="B1" s="2" t="n"/>
      <c r="C1" s="2" t="n"/>
      <c r="D1" s="2" t="n"/>
    </row>
    <row r="2">
      <c r="A2" s="8" t="inlineStr">
        <is>
          <t>Each scenario re-runs the same 5-year FCF build with scaled growth/margin and a shifted WACC &amp; terminal growth — not a single lever, a full re-derivation. Bear/Bull multipliers are explicit, labeled assumptions (see row below), not fabricated target prices.</t>
        </is>
      </c>
    </row>
    <row r="3"/>
    <row r="4">
      <c r="A4" s="20" t="inlineStr"/>
      <c r="B4" s="25" t="inlineStr">
        <is>
          <t>Bear</t>
        </is>
      </c>
      <c r="C4" s="25" t="inlineStr">
        <is>
          <t>Base</t>
        </is>
      </c>
      <c r="D4" s="25" t="inlineStr">
        <is>
          <t>Bull</t>
        </is>
      </c>
    </row>
    <row r="5">
      <c r="A5" s="6" t="inlineStr">
        <is>
          <t>Growth multiplier vs. base case</t>
        </is>
      </c>
      <c r="B5" s="28" t="n">
        <v>0.55</v>
      </c>
      <c r="C5" s="29" t="n">
        <v>1</v>
      </c>
      <c r="D5" s="28" t="n">
        <v>1.35</v>
      </c>
    </row>
    <row r="6">
      <c r="A6" s="6" t="inlineStr">
        <is>
          <t>Operating margin delta (pp)</t>
        </is>
      </c>
      <c r="B6" s="13" t="n">
        <v>-0.03</v>
      </c>
      <c r="C6" s="17" t="n">
        <v>0</v>
      </c>
      <c r="D6" s="13" t="n">
        <v>0.02</v>
      </c>
    </row>
    <row r="7">
      <c r="A7" s="6" t="inlineStr">
        <is>
          <t>WACC delta (pp)</t>
        </is>
      </c>
      <c r="B7" s="13" t="n">
        <v>0.01</v>
      </c>
      <c r="C7" s="17" t="n">
        <v>0</v>
      </c>
      <c r="D7" s="13" t="n">
        <v>-0.01</v>
      </c>
    </row>
    <row r="8">
      <c r="A8" s="6" t="inlineStr">
        <is>
          <t>Terminal growth delta (pp)</t>
        </is>
      </c>
      <c r="B8" s="13" t="n">
        <v>-0.005</v>
      </c>
      <c r="C8" s="17" t="n">
        <v>0</v>
      </c>
      <c r="D8" s="13" t="n">
        <v>0.005</v>
      </c>
    </row>
    <row r="9"/>
    <row r="10">
      <c r="A10" s="6" t="inlineStr">
        <is>
          <t>Scenario WACC</t>
        </is>
      </c>
      <c r="B10" s="17">
        <f>'DCF'!$B$22+B7</f>
        <v/>
      </c>
      <c r="C10" s="17">
        <f>'DCF'!$B$22+C7</f>
        <v/>
      </c>
      <c r="D10" s="17">
        <f>'DCF'!$B$22+D7</f>
        <v/>
      </c>
    </row>
    <row r="11">
      <c r="A11" s="6" t="inlineStr">
        <is>
          <t>Scenario Terminal Growth</t>
        </is>
      </c>
      <c r="B11" s="17">
        <f>'DCF'!$B$48+B8</f>
        <v/>
      </c>
      <c r="C11" s="17">
        <f>'DCF'!$B$48+C8</f>
        <v/>
      </c>
      <c r="D11" s="17">
        <f>'DCF'!$B$48+D8</f>
        <v/>
      </c>
    </row>
    <row r="12"/>
    <row r="13">
      <c r="A13" s="6" t="inlineStr">
        <is>
          <t>Year 1 FCF</t>
        </is>
      </c>
      <c r="B13" s="16">
        <f>((('DCF'!$B$28*(1+('DCF'!C26*B5)))*('DCF'!C30+B6))*(1-'DCF'!$B$15))+(('DCF'!$B$28*(1+('DCF'!C26*B5)))*'DCF'!C35)-(('DCF'!$B$28*(1+('DCF'!C26*B5)))*'DCF'!C37)</f>
        <v/>
      </c>
      <c r="C13" s="16">
        <f>((('DCF'!$B$28*(1+('DCF'!C26*C5)))*('DCF'!C30+C6))*(1-'DCF'!$B$15))+(('DCF'!$B$28*(1+('DCF'!C26*C5)))*'DCF'!C35)-(('DCF'!$B$28*(1+('DCF'!C26*C5)))*'DCF'!C37)</f>
        <v/>
      </c>
      <c r="D13" s="16">
        <f>((('DCF'!$B$28*(1+('DCF'!C26*D5)))*('DCF'!C30+D6))*(1-'DCF'!$B$15))+(('DCF'!$B$28*(1+('DCF'!C26*D5)))*'DCF'!C35)-(('DCF'!$B$28*(1+('DCF'!C26*D5)))*'DCF'!C37)</f>
        <v/>
      </c>
    </row>
    <row r="14">
      <c r="A14" s="6" t="inlineStr">
        <is>
          <t>Year 2 FCF</t>
        </is>
      </c>
      <c r="B14" s="16">
        <f>(((('DCF'!$B$28*(1+('DCF'!C26*$B$5)))*(1+('DCF'!D26*$B$5)))*('DCF'!D30+$B$6))*(1-'DCF'!$B$15))+((('DCF'!$B$28*(1+('DCF'!C26*$B$5)))*(1+('DCF'!D26*$B$5)))*'DCF'!D35)-((('DCF'!$B$28*(1+('DCF'!C26*$B$5)))*(1+('DCF'!D26*$B$5)))*'DCF'!D37)</f>
        <v/>
      </c>
      <c r="C14" s="16">
        <f>(((('DCF'!$B$28*(1+'DCF'!C26))*(1+('DCF'!D26*$C$5)))*('DCF'!D30+$C$6))*(1-'DCF'!$B$15))+((('DCF'!$B$28*(1+'DCF'!C26))*(1+('DCF'!D26*$C$5)))*'DCF'!D35)-((('DCF'!$B$28*(1+'DCF'!C26))*(1+('DCF'!D26*$C$5)))*'DCF'!D37)</f>
        <v/>
      </c>
      <c r="D14" s="16">
        <f>(((('DCF'!$B$28*(1+('DCF'!C26*$D$5)))*(1+('DCF'!D26*$D$5)))*('DCF'!D30+$D$6))*(1-'DCF'!$B$15))+((('DCF'!$B$28*(1+('DCF'!C26*$D$5)))*(1+('DCF'!D26*$D$5)))*'DCF'!D35)-((('DCF'!$B$28*(1+('DCF'!C26*$D$5)))*(1+('DCF'!D26*$D$5)))*'DCF'!D37)</f>
        <v/>
      </c>
    </row>
    <row r="15">
      <c r="A15" s="6" t="inlineStr">
        <is>
          <t>Year 3 FCF</t>
        </is>
      </c>
      <c r="B15" s="16">
        <f>((((('DCF'!$B$28*(1+('DCF'!C26*$B$5)))*(1+('DCF'!D26*$B$5)))*(1+('DCF'!E26*$B$5)))*('DCF'!E30+$B$6))*(1-'DCF'!$B$15))+(((('DCF'!$B$28*(1+('DCF'!C26*$B$5)))*(1+('DCF'!D26*$B$5)))*(1+('DCF'!E26*$B$5)))*'DCF'!E35)-(((('DCF'!$B$28*(1+('DCF'!C26*$B$5)))*(1+('DCF'!D26*$B$5)))*(1+('DCF'!E26*$B$5)))*'DCF'!E37)</f>
        <v/>
      </c>
      <c r="C15" s="16">
        <f>((((('DCF'!$B$28*(1+'DCF'!C26))*(1+('DCF'!D26*$C$5)))*(1+('DCF'!E26*$C$5)))*('DCF'!E30+$C$6))*(1-'DCF'!$B$15))+(((('DCF'!$B$28*(1+'DCF'!C26))*(1+('DCF'!D26*$C$5)))*(1+('DCF'!E26*$C$5)))*'DCF'!E35)-(((('DCF'!$B$28*(1+'DCF'!C26))*(1+('DCF'!D26*$C$5)))*(1+('DCF'!E26*$C$5)))*'DCF'!E37)</f>
        <v/>
      </c>
      <c r="D15" s="16">
        <f>((((('DCF'!$B$28*(1+('DCF'!C26*$D$5)))*(1+('DCF'!D26*$D$5)))*(1+('DCF'!E26*$D$5)))*('DCF'!E30+$D$6))*(1-'DCF'!$B$15))+(((('DCF'!$B$28*(1+('DCF'!C26*$D$5)))*(1+('DCF'!D26*$D$5)))*(1+('DCF'!E26*$D$5)))*'DCF'!E35)-(((('DCF'!$B$28*(1+('DCF'!C26*$D$5)))*(1+('DCF'!D26*$D$5)))*(1+('DCF'!E26*$D$5)))*'DCF'!E37)</f>
        <v/>
      </c>
    </row>
    <row r="16">
      <c r="A16" s="6" t="inlineStr">
        <is>
          <t>Year 4 FCF</t>
        </is>
      </c>
      <c r="B16" s="16">
        <f>(((((('DCF'!$B$28*(1+('DCF'!C26*$B$5)))*(1+('DCF'!D26*$B$5)))*(1+('DCF'!E26*$B$5)))*(1+('DCF'!F26*$B$5)))*('DCF'!F30+$B$6))*(1-'DCF'!$B$15))+((((('DCF'!$B$28*(1+('DCF'!C26*$B$5)))*(1+('DCF'!D26*$B$5)))*(1+('DCF'!E26*$B$5)))*(1+('DCF'!F26*$B$5)))*'DCF'!F35)-((((('DCF'!$B$28*(1+('DCF'!C26*$B$5)))*(1+('DCF'!D26*$B$5)))*(1+('DCF'!E26*$B$5)))*(1+('DCF'!F26*$B$5)))*'DCF'!F37)</f>
        <v/>
      </c>
      <c r="C16" s="16">
        <f>(((((('DCF'!$B$28*(1+'DCF'!C26))*(1+('DCF'!D26*$C$5)))*(1+('DCF'!E26*$C$5)))*(1+('DCF'!F26*$C$5)))*('DCF'!F30+$C$6))*(1-'DCF'!$B$15))+((((('DCF'!$B$28*(1+'DCF'!C26))*(1+('DCF'!D26*$C$5)))*(1+('DCF'!E26*$C$5)))*(1+('DCF'!F26*$C$5)))*'DCF'!F35)-((((('DCF'!$B$28*(1+'DCF'!C26))*(1+('DCF'!D26*$C$5)))*(1+('DCF'!E26*$C$5)))*(1+('DCF'!F26*$C$5)))*'DCF'!F37)</f>
        <v/>
      </c>
      <c r="D16" s="16">
        <f>(((((('DCF'!$B$28*(1+('DCF'!C26*$D$5)))*(1+('DCF'!D26*$D$5)))*(1+('DCF'!E26*$D$5)))*(1+('DCF'!F26*$D$5)))*('DCF'!F30+$D$6))*(1-'DCF'!$B$15))+((((('DCF'!$B$28*(1+('DCF'!C26*$D$5)))*(1+('DCF'!D26*$D$5)))*(1+('DCF'!E26*$D$5)))*(1+('DCF'!F26*$D$5)))*'DCF'!F35)-((((('DCF'!$B$28*(1+('DCF'!C26*$D$5)))*(1+('DCF'!D26*$D$5)))*(1+('DCF'!E26*$D$5)))*(1+('DCF'!F26*$D$5)))*'DCF'!F37)</f>
        <v/>
      </c>
    </row>
    <row r="17">
      <c r="A17" s="6" t="inlineStr">
        <is>
          <t>Year 5 FCF</t>
        </is>
      </c>
      <c r="B17" s="16">
        <f>((((((('DCF'!$B$28*(1+('DCF'!C26*$B$5)))*(1+('DCF'!D26*$B$5)))*(1+('DCF'!E26*$B$5)))*(1+('DCF'!F26*$B$5)))*(1+('DCF'!G26*$B$5)))*('DCF'!G30+$B$6))*(1-'DCF'!$B$15))+(((((('DCF'!$B$28*(1+('DCF'!C26*$B$5)))*(1+('DCF'!D26*$B$5)))*(1+('DCF'!E26*$B$5)))*(1+('DCF'!F26*$B$5)))*(1+('DCF'!G26*$B$5)))*'DCF'!G35)-(((((('DCF'!$B$28*(1+('DCF'!C26*$B$5)))*(1+('DCF'!D26*$B$5)))*(1+('DCF'!E26*$B$5)))*(1+('DCF'!F26*$B$5)))*(1+('DCF'!G26*$B$5)))*'DCF'!G37)</f>
        <v/>
      </c>
      <c r="C17" s="16">
        <f>((((((('DCF'!$B$28*(1+'DCF'!C26))*(1+('DCF'!D26*$C$5)))*(1+('DCF'!E26*$C$5)))*(1+('DCF'!F26*$C$5)))*(1+('DCF'!G26*$C$5)))*('DCF'!G30+$C$6))*(1-'DCF'!$B$15))+(((((('DCF'!$B$28*(1+'DCF'!C26))*(1+('DCF'!D26*$C$5)))*(1+('DCF'!E26*$C$5)))*(1+('DCF'!F26*$C$5)))*(1+('DCF'!G26*$C$5)))*'DCF'!G35)-(((((('DCF'!$B$28*(1+'DCF'!C26))*(1+('DCF'!D26*$C$5)))*(1+('DCF'!E26*$C$5)))*(1+('DCF'!F26*$C$5)))*(1+('DCF'!G26*$C$5)))*'DCF'!G37)</f>
        <v/>
      </c>
      <c r="D17" s="16">
        <f>((((((('DCF'!$B$28*(1+('DCF'!C26*$D$5)))*(1+('DCF'!D26*$D$5)))*(1+('DCF'!E26*$D$5)))*(1+('DCF'!F26*$D$5)))*(1+('DCF'!G26*$D$5)))*('DCF'!G30+$D$6))*(1-'DCF'!$B$15))+(((((('DCF'!$B$28*(1+('DCF'!C26*$D$5)))*(1+('DCF'!D26*$D$5)))*(1+('DCF'!E26*$D$5)))*(1+('DCF'!F26*$D$5)))*(1+('DCF'!G26*$D$5)))*'DCF'!G35)-(((((('DCF'!$B$28*(1+('DCF'!C26*$D$5)))*(1+('DCF'!D26*$D$5)))*(1+('DCF'!E26*$D$5)))*(1+('DCF'!F26*$D$5)))*(1+('DCF'!G26*$D$5)))*'DCF'!G37)</f>
        <v/>
      </c>
    </row>
    <row r="18"/>
    <row r="19">
      <c r="A19" s="6" t="inlineStr">
        <is>
          <t>Sum of PV of FCF (Yr 1-5)</t>
        </is>
      </c>
      <c r="B19" s="16">
        <f>B13/(1+B10)^1+B14/(1+B10)^2+B15/(1+B10)^3+B16/(1+B10)^4+B17/(1+B10)^5</f>
        <v/>
      </c>
      <c r="C19" s="16">
        <f>C13/(1+C10)^1+C14/(1+C10)^2+C15/(1+C10)^3+C16/(1+C10)^4+C17/(1+C10)^5</f>
        <v/>
      </c>
      <c r="D19" s="16">
        <f>D13/(1+D10)^1+D14/(1+D10)^2+D15/(1+D10)^3+D16/(1+D10)^4+D17/(1+D10)^5</f>
        <v/>
      </c>
    </row>
    <row r="20">
      <c r="A20" s="6" t="inlineStr">
        <is>
          <t>Terminal Value</t>
        </is>
      </c>
      <c r="B20" s="16">
        <f>B17*(1+B11)/(B10-B11)</f>
        <v/>
      </c>
      <c r="C20" s="16">
        <f>C17*(1+C11)/(C10-C11)</f>
        <v/>
      </c>
      <c r="D20" s="16">
        <f>D17*(1+D11)/(D10-D11)</f>
        <v/>
      </c>
    </row>
    <row r="21">
      <c r="A21" s="6" t="inlineStr">
        <is>
          <t>PV of Terminal Value</t>
        </is>
      </c>
      <c r="B21" s="16">
        <f>B20/(1+B10)^5</f>
        <v/>
      </c>
      <c r="C21" s="16">
        <f>C20/(1+C10)^5</f>
        <v/>
      </c>
      <c r="D21" s="16">
        <f>D20/(1+D10)^5</f>
        <v/>
      </c>
    </row>
    <row r="22">
      <c r="A22" s="20" t="inlineStr">
        <is>
          <t>Enterprise Value</t>
        </is>
      </c>
      <c r="B22" s="15">
        <f>B19+B21</f>
        <v/>
      </c>
      <c r="C22" s="15">
        <f>C19+C21</f>
        <v/>
      </c>
      <c r="D22" s="15">
        <f>D19+D21</f>
        <v/>
      </c>
    </row>
    <row r="23">
      <c r="A23" s="6" t="inlineStr">
        <is>
          <t>Equity Value</t>
        </is>
      </c>
      <c r="B23" s="16">
        <f>B22-'DCF'!$B$9</f>
        <v/>
      </c>
      <c r="C23" s="16">
        <f>C22-'DCF'!$B$9</f>
        <v/>
      </c>
      <c r="D23" s="16">
        <f>D22-'DCF'!$B$9</f>
        <v/>
      </c>
    </row>
    <row r="24">
      <c r="A24" s="6" t="inlineStr">
        <is>
          <t>Implied Share Price (model currency)</t>
        </is>
      </c>
      <c r="B24" s="30">
        <f>B23/'DCF'!$B$8</f>
        <v/>
      </c>
      <c r="C24" s="30">
        <f>C23/'DCF'!$B$8</f>
        <v/>
      </c>
      <c r="D24" s="30">
        <f>D23/'DCF'!$B$8</f>
        <v/>
      </c>
    </row>
    <row r="25">
      <c r="A25" s="25" t="inlineStr">
        <is>
          <t>Implied Share Price (p, quoted units)</t>
        </is>
      </c>
      <c r="B25" s="26">
        <f>B24*'DCF'!$B$6</f>
        <v/>
      </c>
      <c r="C25" s="26">
        <f>C24*'DCF'!$B$6</f>
        <v/>
      </c>
      <c r="D25" s="26">
        <f>D24*'DCF'!$B$6</f>
        <v/>
      </c>
    </row>
    <row r="26">
      <c r="A26" s="6" t="inlineStr">
        <is>
          <t>Upside / (Downside) vs. Current Price</t>
        </is>
      </c>
      <c r="B26" s="17">
        <f>B25/'DCF'!$B$5-1</f>
        <v/>
      </c>
      <c r="C26" s="17">
        <f>C25/'DCF'!$B$5-1</f>
        <v/>
      </c>
      <c r="D26" s="17">
        <f>D25/'DCF'!$B$5-1</f>
        <v/>
      </c>
    </row>
    <row r="27">
      <c r="A27" s="6" t="inlineStr">
        <is>
          <t>Current Share Price (reference)</t>
        </is>
      </c>
      <c r="B27" s="31">
        <f>'DCF'!$B$5</f>
        <v/>
      </c>
      <c r="C27" s="31">
        <f>'DCF'!$B$5</f>
        <v/>
      </c>
      <c r="D27" s="31">
        <f>'DCF'!$B$5</f>
        <v/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4" customWidth="1" min="1" max="1"/>
    <col width="80" customWidth="1" min="2" max="2"/>
  </cols>
  <sheetData>
    <row r="1" ht="26" customHeight="1">
      <c r="A1" s="27" t="inlineStr">
        <is>
          <t>Diploma PLC — Data Sources &amp; Assumptions</t>
        </is>
      </c>
      <c r="B1" s="2" t="n"/>
    </row>
    <row r="2"/>
    <row r="3">
      <c r="A3" s="32" t="inlineStr">
        <is>
          <t>Input</t>
        </is>
      </c>
      <c r="B3" s="32" t="inlineStr">
        <is>
          <t>Source / Note</t>
        </is>
      </c>
    </row>
    <row r="4" ht="30" customHeight="1">
      <c r="A4" s="20" t="inlineStr">
        <is>
          <t>Current Share Price</t>
        </is>
      </c>
      <c r="B4" s="8" t="inlineStr">
        <is>
          <t>7,525p as of 22 Jul 2026 (stockanalysis.com / site pitch)</t>
        </is>
      </c>
    </row>
    <row r="5" ht="30" customHeight="1">
      <c r="A5" s="20" t="inlineStr">
        <is>
          <t>Shares Outstanding</t>
        </is>
      </c>
      <c r="B5" s="8" t="inlineStr">
        <is>
          <t>134.09m (stockanalysis.com, Aug 2026)</t>
        </is>
      </c>
    </row>
    <row r="6" ht="30" customHeight="1">
      <c r="A6" s="20" t="inlineStr">
        <is>
          <t>Net Debt / Net Cash</t>
        </is>
      </c>
      <c r="B6" s="8" t="inlineStr">
        <is>
          <t>Net debt £383.2m (cash £81.7m, debt £464.9m) — stockanalysis.com</t>
        </is>
      </c>
    </row>
    <row r="7" ht="30" customHeight="1">
      <c r="A7" s="20" t="inlineStr">
        <is>
          <t>Beta</t>
        </is>
      </c>
      <c r="B7" s="8" t="inlineStr">
        <is>
          <t>1.04 (stockanalysis.com)</t>
        </is>
      </c>
    </row>
    <row r="8" ht="30" customHeight="1">
      <c r="A8" s="20" t="inlineStr">
        <is>
          <t>Risk-Free Rate</t>
        </is>
      </c>
      <c r="B8" s="8" t="inlineStr">
        <is>
          <t>UK 10-year gilt yield, 4.99% (4 Aug 2026, tradingeconomics.com)</t>
        </is>
      </c>
    </row>
    <row r="9" ht="30" customHeight="1">
      <c r="A9" s="20" t="inlineStr">
        <is>
          <t>Equity Risk Premium</t>
        </is>
      </c>
      <c r="B9" s="8" t="inlineStr">
        <is>
          <t>Standard mature-market equity risk premium assumption (~5%, Damodaran-style)</t>
        </is>
      </c>
    </row>
    <row r="10" ht="30" customHeight="1">
      <c r="A10" s="20" t="inlineStr">
        <is>
          <t>Pre-Tax Cost of Debt</t>
        </is>
      </c>
      <c r="B10" s="8" t="inlineStr">
        <is>
          <t>Modeled: UK gilt yield + ~80bp investment-grade spread (assumption, not quoted)</t>
        </is>
      </c>
    </row>
    <row r="11" ht="30" customHeight="1">
      <c r="A11" s="20" t="inlineStr">
        <is>
          <t>Tax Rate</t>
        </is>
      </c>
      <c r="B11" s="8" t="inlineStr">
        <is>
          <t>UK statutory corporate tax rate, 25%</t>
        </is>
      </c>
    </row>
    <row r="12" ht="30" customHeight="1">
      <c r="A12" s="20" t="inlineStr">
        <is>
          <t>FY0 Revenue</t>
        </is>
      </c>
      <c r="B12" s="8" t="inlineStr">
        <is>
          <t>FY2025 revenue £1,524.5m (Diploma FY25 results, 18 Nov 2025)</t>
        </is>
      </c>
    </row>
    <row r="13" ht="30" customHeight="1">
      <c r="A13" s="20" t="inlineStr">
        <is>
          <t>FY0 Operating Margin</t>
        </is>
      </c>
      <c r="B13" s="8" t="inlineStr">
        <is>
          <t>FY2025 operating margin 22.5% (£342.7m op. profit / £1,524.5m revenue)</t>
        </is>
      </c>
    </row>
    <row r="14" ht="30" customHeight="1">
      <c r="A14" s="20" t="inlineStr">
        <is>
          <t>Revenue Growth Path (Yr 1-5)</t>
        </is>
      </c>
      <c r="B14" s="8" t="inlineStr">
        <is>
          <t>Y1 from Q1 FY26 reported growth (+17%); tapering toward a mid-single-digit long-run rate as the Peerless/PAR bolt-ons annualize</t>
        </is>
      </c>
    </row>
    <row r="15" ht="30" customHeight="1">
      <c r="A15" s="20" t="inlineStr">
        <is>
          <t>Operating Margin Path (Yr 1-5)</t>
        </is>
      </c>
      <c r="B15" s="8" t="inlineStr">
        <is>
          <t>Modeled expanding toward FY26 guidance (&gt;30% operating PROFIT growth, i.e. margin expansion, not just revenue growth)</t>
        </is>
      </c>
    </row>
    <row r="16" ht="30" customHeight="1">
      <c r="A16" s="20" t="inlineStr">
        <is>
          <t>D&amp;A / Capex / NWC % of revenue</t>
        </is>
      </c>
      <c r="B16" s="8" t="inlineStr">
        <is>
          <t>Modeled assumptions, not directly quoted — set at levels typical for this company's sector and capital intensity, held constant across the projection unless noted</t>
        </is>
      </c>
    </row>
    <row r="17" ht="30" customHeight="1">
      <c r="A17" s="20" t="inlineStr">
        <is>
          <t>Terminal Growth Rate</t>
        </is>
      </c>
      <c r="B17" s="8" t="inlineStr">
        <is>
          <t>2.5% — modeled long-run assumption, roughly in line with long-run nominal GDP growth for this company's home market</t>
        </is>
      </c>
    </row>
    <row r="18" ht="30" customHeight="1">
      <c r="A18" s="20" t="inlineStr">
        <is>
          <t>Bear/Bull scenario multipliers (Scenarios tab)</t>
        </is>
      </c>
      <c r="B18" s="8" t="inlineStr">
        <is>
          <t>Explicit, labeled modeling assumptions — not sourced figures. Bear scales growth to 55% of base and adds 100bp to WACC; Bull scales to 135% of base and subtracts 100bp from WACC. Change them directly on the Scenarios tab to test your own view.</t>
        </is>
      </c>
    </row>
    <row r="19" ht="30" customHeight="1">
      <c r="A19" s="20" t="inlineStr">
        <is>
          <t>WACC debt weighting</t>
        </is>
      </c>
      <c r="B19" s="8" t="inlineStr">
        <is>
          <t>Uses NET debt (0 if net cash) rather than gross debt, as a modeling simplification — several of these names carry net-cash balance sheets where a gross-debt weight would not be meaningful.</t>
        </is>
      </c>
    </row>
    <row r="20"/>
    <row r="21">
      <c r="A21" s="20" t="inlineStr">
        <is>
          <t>Compiled</t>
        </is>
      </c>
      <c r="B21" s="8" t="inlineStr">
        <is>
          <t>Web research conducted August 2026 for Bloombruh's stock-pitch Research Toolkits. This is a dated snapshot, not a live feed — verify current prices/fundamentals before relying on this for a real investment decision. See this pitch's own Research Toolkit page for further primary-source links.</t>
        </is>
      </c>
    </row>
    <row r="22"/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2026-08-06T03:55:46Z</dcterms:created>
  <dcterms:modified xmlns:dcterms="http://purl.org/dc/terms/" xmlns:xsi="http://www.w3.org/2001/XMLSchema-instance" xsi:type="dcterms:W3CDTF">2026-08-06T03:55:46Z</dcterms:modified>
</cp:coreProperties>
</file>