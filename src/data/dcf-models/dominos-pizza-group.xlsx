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 DCF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+0.0%;-0.0%"/>
    <numFmt numFmtId="167" formatCode="0.0x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9" fontId="0" fillId="2" borderId="0" pivotButton="0" quotePrefix="0" xfId="0"/>
    <xf numFmtId="1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3" fontId="2" fillId="3" borderId="0" pivotButton="0" quotePrefix="0" xfId="0"/>
    <xf numFmtId="3" fontId="3" fillId="3" borderId="0" pivotButton="0" quotePrefix="0" xfId="0"/>
    <xf numFmtId="166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3" fontId="0" fillId="2" borderId="0" pivotButton="0" quotePrefix="0" xfId="0"/>
    <xf numFmtId="167" fontId="0" fillId="3" borderId="0" pivotButton="0" quotePrefix="0" xfId="0"/>
    <xf numFmtId="167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Domino's Pizza Group — Valuation Workbook Template — How to Use</t>
        </is>
      </c>
    </row>
    <row r="3">
      <c r="A3" t="inlineStr"/>
    </row>
    <row r="4">
      <c r="A4" t="inlineStr">
        <is>
          <t>ORDER OF WORK — workbook first, deck second. The deck's numbers must come FROM this file, never retyped.</t>
        </is>
      </c>
    </row>
    <row r="5">
      <c r="A5" t="inlineStr"/>
    </row>
    <row r="6">
      <c r="A6" t="inlineStr">
        <is>
          <t>1. Fill every yellow cell on the 'Inputs' tab. Each row says exactly where to pull the number.</t>
        </is>
      </c>
    </row>
    <row r="7">
      <c r="A7" t="inlineStr">
        <is>
          <t>2. Check the 'Scenarios' tab — the Bear/Base/Bull multipliers are editable modeling choices, not facts.</t>
        </is>
      </c>
    </row>
    <row r="8">
      <c r="A8" t="inlineStr">
        <is>
          <t>3. Read your Bear/Base/Bull values per share and the weighted target on the 'DCF' tab summary block.</t>
        </is>
      </c>
    </row>
    <row r="9">
      <c r="A9" t="inlineStr">
        <is>
          <t>4. SANITY CHECK before anything else: a LONG needs the target ABOVE today's price. If your weighted target</t>
        </is>
      </c>
    </row>
    <row r="10">
      <c r="A10" t="inlineStr">
        <is>
          <t xml:space="preserve">   is below the current price, the honest pitch is AVOID or SHORT (a short won OAF — see the Altria deck).</t>
        </is>
      </c>
    </row>
    <row r="11">
      <c r="A11" t="inlineStr">
        <is>
          <t>5. 'Reverse DCF' tab: Excel Goal Seek finds the growth the CURRENT price implies — that goes on the</t>
        </is>
      </c>
    </row>
    <row r="12">
      <c r="A12" t="inlineStr">
        <is>
          <t xml:space="preserve">   deck's Market Expectations slide.</t>
        </is>
      </c>
    </row>
    <row r="13">
      <c r="A13" t="inlineStr">
        <is>
          <t>6. 'Comps' tab: pull the listed peers (+optional extra). Median row computes itself.</t>
        </is>
      </c>
    </row>
    <row r="14">
      <c r="A14" t="inlineStr">
        <is>
          <t>7. Log every number on the 'Sources' tab with the date you pulled it. That becomes the deck's Appendix D.</t>
        </is>
      </c>
    </row>
    <row r="15">
      <c r="A15" t="inlineStr">
        <is>
          <t>8. The morning you present: re-pull the share price and check nothing material moved.</t>
        </is>
      </c>
    </row>
    <row r="16">
      <c r="A16" t="inlineStr"/>
    </row>
    <row r="17">
      <c r="A17" t="inlineStr">
        <is>
          <t>COMPANY-SPECIFIC WARNINGS:</t>
        </is>
      </c>
    </row>
    <row r="18">
      <c r="A18" t="inlineStr">
        <is>
          <t>• Price in pence — quote divisor = 100.</t>
        </is>
      </c>
    </row>
    <row r="19">
      <c r="A19" t="inlineStr">
        <is>
          <t>• Do NOT mix up Domino's Pizza Group plc (LSE: DOM, the UK/Ireland master franchisee) with Domino's Pizza Inc (NYSE: DPZ, the global parent). Different companies, different filings.</t>
        </is>
      </c>
    </row>
    <row r="20">
      <c r="A20" t="inlineStr">
        <is>
          <t>• Use UK-specific inflation/consumer assumptions, not US defaults.</t>
        </is>
      </c>
    </row>
    <row r="21">
      <c r="A21" t="inlineStr"/>
    </row>
    <row r="22">
      <c r="A22" t="inlineStr">
        <is>
          <t>Colour code: YELLOW = you must fill this in.  BLUE = formula, do not touch.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2" customWidth="1" min="3" max="3"/>
  </cols>
  <sheetData>
    <row r="1">
      <c r="A1" s="1" t="inlineStr">
        <is>
          <t>Inputs — fill every yellow cell (source noted on the right)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Where to find it</t>
        </is>
      </c>
    </row>
    <row r="4">
      <c r="A4" t="inlineStr">
        <is>
          <t>Share price (quote currency)</t>
        </is>
      </c>
      <c r="B4" s="3" t="n"/>
      <c r="C4" t="inlineStr">
        <is>
          <t>stockanalysis.com or the exchange — LSE: DOM — pull fresh the day you build</t>
        </is>
      </c>
    </row>
    <row r="5">
      <c r="A5" t="inlineStr">
        <is>
          <t>Shares outstanding (m)</t>
        </is>
      </c>
      <c r="B5" s="3" t="n"/>
      <c r="C5" t="inlineStr">
        <is>
          <t>stockanalysis.com → Statistics</t>
        </is>
      </c>
    </row>
    <row r="6">
      <c r="A6" t="inlineStr">
        <is>
          <t>Net debt (reporting currency, m)</t>
        </is>
      </c>
      <c r="B6" s="3" t="n"/>
      <c r="C6" t="inlineStr">
        <is>
          <t>Latest annual/interim report (borrowings less cash)</t>
        </is>
      </c>
    </row>
    <row r="7">
      <c r="A7" t="inlineStr">
        <is>
          <t>FY0 revenue (reporting currency, m)</t>
        </is>
      </c>
      <c r="B7" s="3" t="n"/>
      <c r="C7" t="inlineStr">
        <is>
          <t>Latest annual report</t>
        </is>
      </c>
    </row>
    <row r="8">
      <c r="A8" t="inlineStr">
        <is>
          <t>FY0 EBIT margin</t>
        </is>
      </c>
      <c r="B8" s="4" t="n"/>
      <c r="C8" t="inlineStr">
        <is>
          <t>Latest annual report — operating profit / revenue</t>
        </is>
      </c>
    </row>
    <row r="9">
      <c r="A9" t="inlineStr">
        <is>
          <t>Tax rate</t>
        </is>
      </c>
      <c r="B9" s="4" t="n"/>
      <c r="C9" t="inlineStr">
        <is>
          <t>Annual report — effective tax rate</t>
        </is>
      </c>
    </row>
    <row r="10">
      <c r="A10" t="inlineStr">
        <is>
          <t>D&amp;A as % of revenue</t>
        </is>
      </c>
      <c r="B10" s="4" t="n"/>
      <c r="C10" t="inlineStr">
        <is>
          <t>Cash-flow statement ÷ revenue</t>
        </is>
      </c>
    </row>
    <row r="11">
      <c r="A11" t="inlineStr">
        <is>
          <t>Capex as % of revenue</t>
        </is>
      </c>
      <c r="B11" s="4" t="n"/>
      <c r="C11" t="inlineStr">
        <is>
          <t>Cash-flow statement ÷ revenue</t>
        </is>
      </c>
    </row>
    <row r="12">
      <c r="A12" t="inlineStr">
        <is>
          <t>Increase in NWC as % of revenue</t>
        </is>
      </c>
      <c r="B12" s="4" t="n"/>
      <c r="C12" t="inlineStr">
        <is>
          <t>Cash-flow statement ÷ revenue</t>
        </is>
      </c>
    </row>
    <row r="13">
      <c r="A13" t="inlineStr">
        <is>
          <t>Risk-free rate</t>
        </is>
      </c>
      <c r="B13" s="4" t="n"/>
      <c r="C13" t="inlineStr">
        <is>
          <t>10-year UK gilt yield — Bank of England</t>
        </is>
      </c>
    </row>
    <row r="14">
      <c r="A14" t="inlineStr">
        <is>
          <t>Beta</t>
        </is>
      </c>
      <c r="B14" s="5" t="n"/>
      <c r="C14" t="inlineStr">
        <is>
          <t>stockanalysis.com — do not guess it</t>
        </is>
      </c>
    </row>
    <row r="15">
      <c r="A15" t="inlineStr">
        <is>
          <t>Equity risk premium</t>
        </is>
      </c>
      <c r="B15" s="4" t="n">
        <v>0.05</v>
      </c>
      <c r="C15" t="inlineStr">
        <is>
          <t>5% is a standard assumption — editable</t>
        </is>
      </c>
    </row>
    <row r="16">
      <c r="A16" t="inlineStr">
        <is>
          <t>Pre-tax cost of debt</t>
        </is>
      </c>
      <c r="B16" s="4" t="n"/>
      <c r="C16" t="inlineStr">
        <is>
          <t>Interest expense ÷ gross debt, from annual report</t>
        </is>
      </c>
    </row>
    <row r="17">
      <c r="A17" t="inlineStr">
        <is>
          <t>Terminal growth rate</t>
        </is>
      </c>
      <c r="B17" s="4" t="n"/>
      <c r="C17" t="inlineStr">
        <is>
          <t>Long-run nominal GDP-ish: 2-3% is defensible</t>
        </is>
      </c>
    </row>
    <row r="18">
      <c r="A18" t="inlineStr">
        <is>
          <t>Base revenue growth (Y1-5, pre-multiplier)</t>
        </is>
      </c>
      <c r="B18" s="4" t="n"/>
      <c r="C18" t="inlineStr">
        <is>
          <t>Your forecast — anchor on recent reported growth + guidance</t>
        </is>
      </c>
    </row>
    <row r="19">
      <c r="A19" t="inlineStr">
        <is>
          <t>Scenario weight — Bear</t>
        </is>
      </c>
      <c r="B19" s="6" t="n">
        <v>0.25</v>
      </c>
      <c r="C19" t="inlineStr">
        <is>
          <t>Editable modeling choice</t>
        </is>
      </c>
    </row>
    <row r="20">
      <c r="A20" t="inlineStr">
        <is>
          <t>Scenario weight — Base</t>
        </is>
      </c>
      <c r="B20" s="6" t="n">
        <v>0.5</v>
      </c>
      <c r="C20" t="inlineStr">
        <is>
          <t>Editable modeling choice</t>
        </is>
      </c>
    </row>
    <row r="21">
      <c r="A21" t="inlineStr">
        <is>
          <t>Scenario weight — Bull</t>
        </is>
      </c>
      <c r="B21" s="6" t="n">
        <v>0.25</v>
      </c>
      <c r="C21" t="inlineStr">
        <is>
          <t>Editable modeling choice</t>
        </is>
      </c>
    </row>
    <row r="22">
      <c r="A22" t="inlineStr">
        <is>
          <t>Quote divisor (100 = pence/øre pricing, 1 = unit pricing)</t>
        </is>
      </c>
      <c r="B22" s="3" t="n">
        <v>100</v>
      </c>
      <c r="C22" t="inlineStr">
        <is>
          <t>GBX (pence) — see READ ME warnings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70" customWidth="1" min="5" max="5"/>
  </cols>
  <sheetData>
    <row r="1">
      <c r="A1" s="1" t="inlineStr">
        <is>
          <t>Scenarios — editable modeling choices (you WILL be asked to defend these)</t>
        </is>
      </c>
    </row>
    <row r="3">
      <c r="A3" s="2" t="inlineStr">
        <is>
          <t>Case</t>
        </is>
      </c>
      <c r="B3" s="2" t="inlineStr">
        <is>
          <t>Growth multiplier</t>
        </is>
      </c>
      <c r="C3" s="2" t="inlineStr">
        <is>
          <t>Margin delta (bps)</t>
        </is>
      </c>
      <c r="D3" s="2" t="inlineStr">
        <is>
          <t>WACC delta (bps)</t>
        </is>
      </c>
      <c r="E3" s="2" t="inlineStr">
        <is>
          <t>What the case says</t>
        </is>
      </c>
    </row>
    <row r="4">
      <c r="A4" s="2" t="inlineStr">
        <is>
          <t>Bear</t>
        </is>
      </c>
      <c r="B4" s="5" t="n">
        <v>0.55</v>
      </c>
      <c r="C4" s="3" t="n">
        <v>-100</v>
      </c>
      <c r="D4" s="3" t="n">
        <v>100</v>
      </c>
      <c r="E4" t="inlineStr">
        <is>
          <t>[EDIT: what has to go wrong — name the company-specific driver]</t>
        </is>
      </c>
    </row>
    <row r="5">
      <c r="A5" s="2" t="inlineStr">
        <is>
          <t>Base</t>
        </is>
      </c>
      <c r="B5" s="5" t="n">
        <v>1</v>
      </c>
      <c r="C5" s="3" t="n">
        <v>0</v>
      </c>
      <c r="D5" s="3" t="n">
        <v>0</v>
      </c>
      <c r="E5" t="inlineStr">
        <is>
          <t>As modeled — recent momentum fades toward the fade rate</t>
        </is>
      </c>
    </row>
    <row r="6">
      <c r="A6" s="2" t="inlineStr">
        <is>
          <t>Bull</t>
        </is>
      </c>
      <c r="B6" s="5" t="n">
        <v>1.35</v>
      </c>
      <c r="C6" s="3" t="n">
        <v>100</v>
      </c>
      <c r="D6" s="3" t="n">
        <v>-100</v>
      </c>
      <c r="E6" t="inlineStr">
        <is>
          <t>[EDIT: what has to go right — name the company-specific driver]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DCF — 5-year unlevered FCF, three scenarios (blue cells are formulas)</t>
        </is>
      </c>
    </row>
    <row r="3">
      <c r="A3" s="2" t="inlineStr">
        <is>
          <t>WACC build</t>
        </is>
      </c>
    </row>
    <row r="4">
      <c r="A4" t="inlineStr">
        <is>
          <t>Cost of equity (CAPM)</t>
        </is>
      </c>
      <c r="B4" s="7">
        <f>Inputs!B13+Inputs!B14*Inputs!B15</f>
        <v/>
      </c>
    </row>
    <row r="5">
      <c r="A5" t="inlineStr">
        <is>
          <t>After-tax cost of debt</t>
        </is>
      </c>
      <c r="B5" s="7">
        <f>Inputs!B16*(1-Inputs!B9)</f>
        <v/>
      </c>
    </row>
    <row r="6">
      <c r="A6" t="inlineStr">
        <is>
          <t>Market cap (reporting-ccy m)</t>
        </is>
      </c>
      <c r="B6" s="8">
        <f>Inputs!B4/Inputs!B22*Inputs!B5</f>
        <v/>
      </c>
    </row>
    <row r="7">
      <c r="A7" t="inlineStr">
        <is>
          <t>Weight of equity / debt</t>
        </is>
      </c>
      <c r="B7" s="9">
        <f>B6/(B6+Inputs!B6)</f>
        <v/>
      </c>
      <c r="C7" s="9">
        <f>1-B7</f>
        <v/>
      </c>
    </row>
    <row r="8">
      <c r="A8" t="inlineStr">
        <is>
          <t>Base WACC</t>
        </is>
      </c>
      <c r="B8" s="7">
        <f>B7*B4+C7*B5</f>
        <v/>
      </c>
    </row>
    <row r="9">
      <c r="A9" t="inlineStr">
        <is>
          <t>Bear WACC / Bull WACC</t>
        </is>
      </c>
      <c r="B9" s="7">
        <f>B8+Scenarios!D4/10000</f>
        <v/>
      </c>
      <c r="C9" s="7">
        <f>B8+Scenarios!D6/10000</f>
        <v/>
      </c>
    </row>
    <row r="12">
      <c r="A12" s="2" t="inlineStr">
        <is>
          <t>Bear case</t>
        </is>
      </c>
      <c r="B12" s="7">
        <f>B9</f>
        <v/>
      </c>
    </row>
    <row r="13">
      <c r="A13" s="2" t="inlineStr"/>
      <c r="B13" s="2" t="inlineStr">
        <is>
          <t>FY1</t>
        </is>
      </c>
      <c r="C13" s="2" t="inlineStr">
        <is>
          <t>FY2</t>
        </is>
      </c>
      <c r="D13" s="2" t="inlineStr">
        <is>
          <t>FY3</t>
        </is>
      </c>
      <c r="E13" s="2" t="inlineStr">
        <is>
          <t>FY4</t>
        </is>
      </c>
      <c r="F13" s="2" t="inlineStr">
        <is>
          <t>FY5</t>
        </is>
      </c>
    </row>
    <row r="14">
      <c r="A14" t="inlineStr">
        <is>
          <t>Revenue</t>
        </is>
      </c>
      <c r="B14" s="8">
        <f>Inputs!B7*(1+(Inputs!B18*Scenarios!B4))</f>
        <v/>
      </c>
      <c r="C14" s="8">
        <f>B14*(1+(Inputs!B18*Scenarios!B4))</f>
        <v/>
      </c>
      <c r="D14" s="8">
        <f>C14*(1+(Inputs!B18*Scenarios!B4))</f>
        <v/>
      </c>
      <c r="E14" s="8">
        <f>D14*(1+(Inputs!B18*Scenarios!B4))</f>
        <v/>
      </c>
      <c r="F14" s="8">
        <f>E14*(1+(Inputs!B18*Scenarios!B4))</f>
        <v/>
      </c>
      <c r="G14" s="8">
        <f>F14*(1+(Inputs!B18*Scenarios!B4))</f>
        <v/>
      </c>
    </row>
    <row r="15">
      <c r="A15" t="inlineStr">
        <is>
          <t>EBIT margin</t>
        </is>
      </c>
      <c r="B15" s="9">
        <f>(Inputs!B8+Scenarios!C4/10000)</f>
        <v/>
      </c>
      <c r="C15" s="9">
        <f>(Inputs!B8+Scenarios!C4/10000)</f>
        <v/>
      </c>
      <c r="D15" s="9">
        <f>(Inputs!B8+Scenarios!C4/10000)</f>
        <v/>
      </c>
      <c r="E15" s="9">
        <f>(Inputs!B8+Scenarios!C4/10000)</f>
        <v/>
      </c>
      <c r="F15" s="9">
        <f>(Inputs!B8+Scenarios!C4/10000)</f>
        <v/>
      </c>
      <c r="G15" s="9">
        <f>(Inputs!B8+Scenarios!C4/10000)</f>
        <v/>
      </c>
    </row>
    <row r="16">
      <c r="A16" t="inlineStr">
        <is>
          <t>EBIT</t>
        </is>
      </c>
      <c r="B16" s="8">
        <f>B14*B15</f>
        <v/>
      </c>
      <c r="C16" s="8">
        <f>C14*C15</f>
        <v/>
      </c>
      <c r="D16" s="8">
        <f>D14*D15</f>
        <v/>
      </c>
      <c r="E16" s="8">
        <f>E14*E15</f>
        <v/>
      </c>
      <c r="F16" s="8">
        <f>F14*F15</f>
        <v/>
      </c>
      <c r="G16" s="8">
        <f>G14*G15</f>
        <v/>
      </c>
    </row>
    <row r="17">
      <c r="A17" t="inlineStr">
        <is>
          <t>NOPAT</t>
        </is>
      </c>
      <c r="B17" s="8">
        <f>B16*(1-Inputs!B9)</f>
        <v/>
      </c>
      <c r="C17" s="8">
        <f>C16*(1-Inputs!B9)</f>
        <v/>
      </c>
      <c r="D17" s="8">
        <f>D16*(1-Inputs!B9)</f>
        <v/>
      </c>
      <c r="E17" s="8">
        <f>E16*(1-Inputs!B9)</f>
        <v/>
      </c>
      <c r="F17" s="8">
        <f>F16*(1-Inputs!B9)</f>
        <v/>
      </c>
      <c r="G17" s="8">
        <f>G16*(1-Inputs!B9)</f>
        <v/>
      </c>
    </row>
    <row r="18">
      <c r="A18" t="inlineStr">
        <is>
          <t>Plus: D&amp;A</t>
        </is>
      </c>
      <c r="B18" s="8">
        <f>B14*Inputs!B10</f>
        <v/>
      </c>
      <c r="C18" s="8">
        <f>C14*Inputs!B10</f>
        <v/>
      </c>
      <c r="D18" s="8">
        <f>D14*Inputs!B10</f>
        <v/>
      </c>
      <c r="E18" s="8">
        <f>E14*Inputs!B10</f>
        <v/>
      </c>
      <c r="F18" s="8">
        <f>F14*Inputs!B10</f>
        <v/>
      </c>
      <c r="G18" s="8">
        <f>G14*Inputs!B10</f>
        <v/>
      </c>
    </row>
    <row r="19">
      <c r="A19" t="inlineStr">
        <is>
          <t>Less: capex</t>
        </is>
      </c>
      <c r="B19" s="8">
        <f>B14*Inputs!B11</f>
        <v/>
      </c>
      <c r="C19" s="8">
        <f>C14*Inputs!B11</f>
        <v/>
      </c>
      <c r="D19" s="8">
        <f>D14*Inputs!B11</f>
        <v/>
      </c>
      <c r="E19" s="8">
        <f>E14*Inputs!B11</f>
        <v/>
      </c>
      <c r="F19" s="8">
        <f>F14*Inputs!B11</f>
        <v/>
      </c>
      <c r="G19" s="8">
        <f>G14*Inputs!B11</f>
        <v/>
      </c>
    </row>
    <row r="20">
      <c r="A20" t="inlineStr">
        <is>
          <t>Less: increase in NWC</t>
        </is>
      </c>
      <c r="B20" s="8">
        <f>B14*Inputs!B12</f>
        <v/>
      </c>
      <c r="C20" s="8">
        <f>C14*Inputs!B12</f>
        <v/>
      </c>
      <c r="D20" s="8">
        <f>D14*Inputs!B12</f>
        <v/>
      </c>
      <c r="E20" s="8">
        <f>E14*Inputs!B12</f>
        <v/>
      </c>
      <c r="F20" s="8">
        <f>F14*Inputs!B12</f>
        <v/>
      </c>
      <c r="G20" s="8">
        <f>G14*Inputs!B12</f>
        <v/>
      </c>
    </row>
    <row r="21">
      <c r="A21" t="inlineStr">
        <is>
          <t>Unlevered FCF</t>
        </is>
      </c>
      <c r="B21" s="8">
        <f>B17+B18-B19-B20</f>
        <v/>
      </c>
      <c r="C21" s="8">
        <f>C17+C18-C19-C20</f>
        <v/>
      </c>
      <c r="D21" s="8">
        <f>D17+D18-D19-D20</f>
        <v/>
      </c>
      <c r="E21" s="8">
        <f>E17+E18-E19-E20</f>
        <v/>
      </c>
      <c r="F21" s="8">
        <f>F17+F18-F19-F20</f>
        <v/>
      </c>
      <c r="G21" s="8">
        <f>G17+G18-G19-G20</f>
        <v/>
      </c>
    </row>
    <row r="22">
      <c r="A22" t="inlineStr">
        <is>
          <t>Discount factor</t>
        </is>
      </c>
      <c r="B22" s="10">
        <f>1/(1+$B$12)^1</f>
        <v/>
      </c>
      <c r="C22" s="10">
        <f>1/(1+$B$12)^2</f>
        <v/>
      </c>
      <c r="D22" s="10">
        <f>1/(1+$B$12)^3</f>
        <v/>
      </c>
      <c r="E22" s="10">
        <f>1/(1+$B$12)^4</f>
        <v/>
      </c>
      <c r="F22" s="10">
        <f>1/(1+$B$12)^5</f>
        <v/>
      </c>
      <c r="G22" s="10">
        <f>1/(1+$B$12)^6</f>
        <v/>
      </c>
    </row>
    <row r="23">
      <c r="A23" t="inlineStr">
        <is>
          <t>PV of FCF</t>
        </is>
      </c>
      <c r="B23" s="8">
        <f>B21*B22</f>
        <v/>
      </c>
      <c r="C23" s="8">
        <f>C21*C22</f>
        <v/>
      </c>
      <c r="D23" s="8">
        <f>D21*D22</f>
        <v/>
      </c>
      <c r="E23" s="8">
        <f>E21*E22</f>
        <v/>
      </c>
      <c r="F23" s="8">
        <f>F21*F22</f>
        <v/>
      </c>
      <c r="G23" s="8">
        <f>G21*G22</f>
        <v/>
      </c>
    </row>
    <row r="24">
      <c r="A24" t="inlineStr">
        <is>
          <t>Terminal value (Gordon, on FY5 FCF)</t>
        </is>
      </c>
      <c r="B24" s="8">
        <f>G21*(1+Inputs!B17)/($B$12-Inputs!B17)</f>
        <v/>
      </c>
    </row>
    <row r="25">
      <c r="A25" t="inlineStr">
        <is>
          <t>PV of terminal value</t>
        </is>
      </c>
      <c r="B25" s="8">
        <f>B24*G22</f>
        <v/>
      </c>
    </row>
    <row r="26">
      <c r="A26" t="inlineStr">
        <is>
          <t>Enterprise value</t>
        </is>
      </c>
      <c r="B26" s="8">
        <f>SUM(B23:G23)+B25</f>
        <v/>
      </c>
    </row>
    <row r="27">
      <c r="A27" t="inlineStr">
        <is>
          <t>Equity value (EV less net debt)</t>
        </is>
      </c>
      <c r="B27" s="8">
        <f>B26-Inputs!B6</f>
        <v/>
      </c>
    </row>
    <row r="28">
      <c r="A28" t="inlineStr">
        <is>
          <t>Value per share (quote currency)</t>
        </is>
      </c>
      <c r="B28" s="11">
        <f>B27/Inputs!B5*Inputs!B22</f>
        <v/>
      </c>
    </row>
    <row r="31">
      <c r="A31" s="2" t="inlineStr">
        <is>
          <t>Base case</t>
        </is>
      </c>
      <c r="B31" s="7">
        <f>B8</f>
        <v/>
      </c>
    </row>
    <row r="32">
      <c r="A32" s="2" t="inlineStr"/>
      <c r="B32" s="2" t="inlineStr">
        <is>
          <t>FY1</t>
        </is>
      </c>
      <c r="C32" s="2" t="inlineStr">
        <is>
          <t>FY2</t>
        </is>
      </c>
      <c r="D32" s="2" t="inlineStr">
        <is>
          <t>FY3</t>
        </is>
      </c>
      <c r="E32" s="2" t="inlineStr">
        <is>
          <t>FY4</t>
        </is>
      </c>
      <c r="F32" s="2" t="inlineStr">
        <is>
          <t>FY5</t>
        </is>
      </c>
    </row>
    <row r="33">
      <c r="A33" t="inlineStr">
        <is>
          <t>Revenue</t>
        </is>
      </c>
      <c r="B33" s="8">
        <f>Inputs!B7*(1+(Inputs!B18*Scenarios!B5))</f>
        <v/>
      </c>
      <c r="C33" s="8">
        <f>B33*(1+(Inputs!B18*Scenarios!B5))</f>
        <v/>
      </c>
      <c r="D33" s="8">
        <f>C33*(1+(Inputs!B18*Scenarios!B5))</f>
        <v/>
      </c>
      <c r="E33" s="8">
        <f>D33*(1+(Inputs!B18*Scenarios!B5))</f>
        <v/>
      </c>
      <c r="F33" s="8">
        <f>E33*(1+(Inputs!B18*Scenarios!B5))</f>
        <v/>
      </c>
      <c r="G33" s="8">
        <f>F33*(1+(Inputs!B18*Scenarios!B5))</f>
        <v/>
      </c>
    </row>
    <row r="34">
      <c r="A34" t="inlineStr">
        <is>
          <t>EBIT margin</t>
        </is>
      </c>
      <c r="B34" s="9">
        <f>(Inputs!B8+Scenarios!C5/10000)</f>
        <v/>
      </c>
      <c r="C34" s="9">
        <f>(Inputs!B8+Scenarios!C5/10000)</f>
        <v/>
      </c>
      <c r="D34" s="9">
        <f>(Inputs!B8+Scenarios!C5/10000)</f>
        <v/>
      </c>
      <c r="E34" s="9">
        <f>(Inputs!B8+Scenarios!C5/10000)</f>
        <v/>
      </c>
      <c r="F34" s="9">
        <f>(Inputs!B8+Scenarios!C5/10000)</f>
        <v/>
      </c>
      <c r="G34" s="9">
        <f>(Inputs!B8+Scenarios!C5/10000)</f>
        <v/>
      </c>
    </row>
    <row r="35">
      <c r="A35" t="inlineStr">
        <is>
          <t>EBIT</t>
        </is>
      </c>
      <c r="B35" s="8">
        <f>B33*B34</f>
        <v/>
      </c>
      <c r="C35" s="8">
        <f>C33*C34</f>
        <v/>
      </c>
      <c r="D35" s="8">
        <f>D33*D34</f>
        <v/>
      </c>
      <c r="E35" s="8">
        <f>E33*E34</f>
        <v/>
      </c>
      <c r="F35" s="8">
        <f>F33*F34</f>
        <v/>
      </c>
      <c r="G35" s="8">
        <f>G33*G34</f>
        <v/>
      </c>
    </row>
    <row r="36">
      <c r="A36" t="inlineStr">
        <is>
          <t>NOPAT</t>
        </is>
      </c>
      <c r="B36" s="8">
        <f>B35*(1-Inputs!B9)</f>
        <v/>
      </c>
      <c r="C36" s="8">
        <f>C35*(1-Inputs!B9)</f>
        <v/>
      </c>
      <c r="D36" s="8">
        <f>D35*(1-Inputs!B9)</f>
        <v/>
      </c>
      <c r="E36" s="8">
        <f>E35*(1-Inputs!B9)</f>
        <v/>
      </c>
      <c r="F36" s="8">
        <f>F35*(1-Inputs!B9)</f>
        <v/>
      </c>
      <c r="G36" s="8">
        <f>G35*(1-Inputs!B9)</f>
        <v/>
      </c>
    </row>
    <row r="37">
      <c r="A37" t="inlineStr">
        <is>
          <t>Plus: D&amp;A</t>
        </is>
      </c>
      <c r="B37" s="8">
        <f>B33*Inputs!B10</f>
        <v/>
      </c>
      <c r="C37" s="8">
        <f>C33*Inputs!B10</f>
        <v/>
      </c>
      <c r="D37" s="8">
        <f>D33*Inputs!B10</f>
        <v/>
      </c>
      <c r="E37" s="8">
        <f>E33*Inputs!B10</f>
        <v/>
      </c>
      <c r="F37" s="8">
        <f>F33*Inputs!B10</f>
        <v/>
      </c>
      <c r="G37" s="8">
        <f>G33*Inputs!B10</f>
        <v/>
      </c>
    </row>
    <row r="38">
      <c r="A38" t="inlineStr">
        <is>
          <t>Less: capex</t>
        </is>
      </c>
      <c r="B38" s="8">
        <f>B33*Inputs!B11</f>
        <v/>
      </c>
      <c r="C38" s="8">
        <f>C33*Inputs!B11</f>
        <v/>
      </c>
      <c r="D38" s="8">
        <f>D33*Inputs!B11</f>
        <v/>
      </c>
      <c r="E38" s="8">
        <f>E33*Inputs!B11</f>
        <v/>
      </c>
      <c r="F38" s="8">
        <f>F33*Inputs!B11</f>
        <v/>
      </c>
      <c r="G38" s="8">
        <f>G33*Inputs!B11</f>
        <v/>
      </c>
    </row>
    <row r="39">
      <c r="A39" t="inlineStr">
        <is>
          <t>Less: increase in NWC</t>
        </is>
      </c>
      <c r="B39" s="8">
        <f>B33*Inputs!B12</f>
        <v/>
      </c>
      <c r="C39" s="8">
        <f>C33*Inputs!B12</f>
        <v/>
      </c>
      <c r="D39" s="8">
        <f>D33*Inputs!B12</f>
        <v/>
      </c>
      <c r="E39" s="8">
        <f>E33*Inputs!B12</f>
        <v/>
      </c>
      <c r="F39" s="8">
        <f>F33*Inputs!B12</f>
        <v/>
      </c>
      <c r="G39" s="8">
        <f>G33*Inputs!B12</f>
        <v/>
      </c>
    </row>
    <row r="40">
      <c r="A40" t="inlineStr">
        <is>
          <t>Unlevered FCF</t>
        </is>
      </c>
      <c r="B40" s="8">
        <f>B36+B37-B38-B39</f>
        <v/>
      </c>
      <c r="C40" s="8">
        <f>C36+C37-C38-C39</f>
        <v/>
      </c>
      <c r="D40" s="8">
        <f>D36+D37-D38-D39</f>
        <v/>
      </c>
      <c r="E40" s="8">
        <f>E36+E37-E38-E39</f>
        <v/>
      </c>
      <c r="F40" s="8">
        <f>F36+F37-F38-F39</f>
        <v/>
      </c>
      <c r="G40" s="8">
        <f>G36+G37-G38-G39</f>
        <v/>
      </c>
    </row>
    <row r="41">
      <c r="A41" t="inlineStr">
        <is>
          <t>Discount factor</t>
        </is>
      </c>
      <c r="B41" s="10">
        <f>1/(1+$B$31)^1</f>
        <v/>
      </c>
      <c r="C41" s="10">
        <f>1/(1+$B$31)^2</f>
        <v/>
      </c>
      <c r="D41" s="10">
        <f>1/(1+$B$31)^3</f>
        <v/>
      </c>
      <c r="E41" s="10">
        <f>1/(1+$B$31)^4</f>
        <v/>
      </c>
      <c r="F41" s="10">
        <f>1/(1+$B$31)^5</f>
        <v/>
      </c>
      <c r="G41" s="10">
        <f>1/(1+$B$31)^6</f>
        <v/>
      </c>
    </row>
    <row r="42">
      <c r="A42" t="inlineStr">
        <is>
          <t>PV of FCF</t>
        </is>
      </c>
      <c r="B42" s="8">
        <f>B40*B41</f>
        <v/>
      </c>
      <c r="C42" s="8">
        <f>C40*C41</f>
        <v/>
      </c>
      <c r="D42" s="8">
        <f>D40*D41</f>
        <v/>
      </c>
      <c r="E42" s="8">
        <f>E40*E41</f>
        <v/>
      </c>
      <c r="F42" s="8">
        <f>F40*F41</f>
        <v/>
      </c>
      <c r="G42" s="8">
        <f>G40*G41</f>
        <v/>
      </c>
    </row>
    <row r="43">
      <c r="A43" t="inlineStr">
        <is>
          <t>Terminal value (Gordon, on FY5 FCF)</t>
        </is>
      </c>
      <c r="B43" s="8">
        <f>G40*(1+Inputs!B17)/($B$31-Inputs!B17)</f>
        <v/>
      </c>
    </row>
    <row r="44">
      <c r="A44" t="inlineStr">
        <is>
          <t>PV of terminal value</t>
        </is>
      </c>
      <c r="B44" s="8">
        <f>B43*G41</f>
        <v/>
      </c>
    </row>
    <row r="45">
      <c r="A45" t="inlineStr">
        <is>
          <t>Enterprise value</t>
        </is>
      </c>
      <c r="B45" s="8">
        <f>SUM(B42:G42)+B44</f>
        <v/>
      </c>
    </row>
    <row r="46">
      <c r="A46" t="inlineStr">
        <is>
          <t>Equity value (EV less net debt)</t>
        </is>
      </c>
      <c r="B46" s="8">
        <f>B45-Inputs!B6</f>
        <v/>
      </c>
    </row>
    <row r="47">
      <c r="A47" t="inlineStr">
        <is>
          <t>Value per share (quote currency)</t>
        </is>
      </c>
      <c r="B47" s="11">
        <f>B46/Inputs!B5*Inputs!B22</f>
        <v/>
      </c>
    </row>
    <row r="50">
      <c r="A50" s="2" t="inlineStr">
        <is>
          <t>Bull case</t>
        </is>
      </c>
      <c r="B50" s="7">
        <f>C9</f>
        <v/>
      </c>
    </row>
    <row r="51">
      <c r="A51" s="2" t="inlineStr"/>
      <c r="B51" s="2" t="inlineStr">
        <is>
          <t>FY1</t>
        </is>
      </c>
      <c r="C51" s="2" t="inlineStr">
        <is>
          <t>FY2</t>
        </is>
      </c>
      <c r="D51" s="2" t="inlineStr">
        <is>
          <t>FY3</t>
        </is>
      </c>
      <c r="E51" s="2" t="inlineStr">
        <is>
          <t>FY4</t>
        </is>
      </c>
      <c r="F51" s="2" t="inlineStr">
        <is>
          <t>FY5</t>
        </is>
      </c>
    </row>
    <row r="52">
      <c r="A52" t="inlineStr">
        <is>
          <t>Revenue</t>
        </is>
      </c>
      <c r="B52" s="8">
        <f>Inputs!B7*(1+(Inputs!B18*Scenarios!B6))</f>
        <v/>
      </c>
      <c r="C52" s="8">
        <f>B52*(1+(Inputs!B18*Scenarios!B6))</f>
        <v/>
      </c>
      <c r="D52" s="8">
        <f>C52*(1+(Inputs!B18*Scenarios!B6))</f>
        <v/>
      </c>
      <c r="E52" s="8">
        <f>D52*(1+(Inputs!B18*Scenarios!B6))</f>
        <v/>
      </c>
      <c r="F52" s="8">
        <f>E52*(1+(Inputs!B18*Scenarios!B6))</f>
        <v/>
      </c>
      <c r="G52" s="8">
        <f>F52*(1+(Inputs!B18*Scenarios!B6))</f>
        <v/>
      </c>
    </row>
    <row r="53">
      <c r="A53" t="inlineStr">
        <is>
          <t>EBIT margin</t>
        </is>
      </c>
      <c r="B53" s="9">
        <f>(Inputs!B8+Scenarios!C6/10000)</f>
        <v/>
      </c>
      <c r="C53" s="9">
        <f>(Inputs!B8+Scenarios!C6/10000)</f>
        <v/>
      </c>
      <c r="D53" s="9">
        <f>(Inputs!B8+Scenarios!C6/10000)</f>
        <v/>
      </c>
      <c r="E53" s="9">
        <f>(Inputs!B8+Scenarios!C6/10000)</f>
        <v/>
      </c>
      <c r="F53" s="9">
        <f>(Inputs!B8+Scenarios!C6/10000)</f>
        <v/>
      </c>
      <c r="G53" s="9">
        <f>(Inputs!B8+Scenarios!C6/10000)</f>
        <v/>
      </c>
    </row>
    <row r="54">
      <c r="A54" t="inlineStr">
        <is>
          <t>EBIT</t>
        </is>
      </c>
      <c r="B54" s="8">
        <f>B52*B53</f>
        <v/>
      </c>
      <c r="C54" s="8">
        <f>C52*C53</f>
        <v/>
      </c>
      <c r="D54" s="8">
        <f>D52*D53</f>
        <v/>
      </c>
      <c r="E54" s="8">
        <f>E52*E53</f>
        <v/>
      </c>
      <c r="F54" s="8">
        <f>F52*F53</f>
        <v/>
      </c>
      <c r="G54" s="8">
        <f>G52*G53</f>
        <v/>
      </c>
    </row>
    <row r="55">
      <c r="A55" t="inlineStr">
        <is>
          <t>NOPAT</t>
        </is>
      </c>
      <c r="B55" s="8">
        <f>B54*(1-Inputs!B9)</f>
        <v/>
      </c>
      <c r="C55" s="8">
        <f>C54*(1-Inputs!B9)</f>
        <v/>
      </c>
      <c r="D55" s="8">
        <f>D54*(1-Inputs!B9)</f>
        <v/>
      </c>
      <c r="E55" s="8">
        <f>E54*(1-Inputs!B9)</f>
        <v/>
      </c>
      <c r="F55" s="8">
        <f>F54*(1-Inputs!B9)</f>
        <v/>
      </c>
      <c r="G55" s="8">
        <f>G54*(1-Inputs!B9)</f>
        <v/>
      </c>
    </row>
    <row r="56">
      <c r="A56" t="inlineStr">
        <is>
          <t>Plus: D&amp;A</t>
        </is>
      </c>
      <c r="B56" s="8">
        <f>B52*Inputs!B10</f>
        <v/>
      </c>
      <c r="C56" s="8">
        <f>C52*Inputs!B10</f>
        <v/>
      </c>
      <c r="D56" s="8">
        <f>D52*Inputs!B10</f>
        <v/>
      </c>
      <c r="E56" s="8">
        <f>E52*Inputs!B10</f>
        <v/>
      </c>
      <c r="F56" s="8">
        <f>F52*Inputs!B10</f>
        <v/>
      </c>
      <c r="G56" s="8">
        <f>G52*Inputs!B10</f>
        <v/>
      </c>
    </row>
    <row r="57">
      <c r="A57" t="inlineStr">
        <is>
          <t>Less: capex</t>
        </is>
      </c>
      <c r="B57" s="8">
        <f>B52*Inputs!B11</f>
        <v/>
      </c>
      <c r="C57" s="8">
        <f>C52*Inputs!B11</f>
        <v/>
      </c>
      <c r="D57" s="8">
        <f>D52*Inputs!B11</f>
        <v/>
      </c>
      <c r="E57" s="8">
        <f>E52*Inputs!B11</f>
        <v/>
      </c>
      <c r="F57" s="8">
        <f>F52*Inputs!B11</f>
        <v/>
      </c>
      <c r="G57" s="8">
        <f>G52*Inputs!B11</f>
        <v/>
      </c>
    </row>
    <row r="58">
      <c r="A58" t="inlineStr">
        <is>
          <t>Less: increase in NWC</t>
        </is>
      </c>
      <c r="B58" s="8">
        <f>B52*Inputs!B12</f>
        <v/>
      </c>
      <c r="C58" s="8">
        <f>C52*Inputs!B12</f>
        <v/>
      </c>
      <c r="D58" s="8">
        <f>D52*Inputs!B12</f>
        <v/>
      </c>
      <c r="E58" s="8">
        <f>E52*Inputs!B12</f>
        <v/>
      </c>
      <c r="F58" s="8">
        <f>F52*Inputs!B12</f>
        <v/>
      </c>
      <c r="G58" s="8">
        <f>G52*Inputs!B12</f>
        <v/>
      </c>
    </row>
    <row r="59">
      <c r="A59" t="inlineStr">
        <is>
          <t>Unlevered FCF</t>
        </is>
      </c>
      <c r="B59" s="8">
        <f>B55+B56-B57-B58</f>
        <v/>
      </c>
      <c r="C59" s="8">
        <f>C55+C56-C57-C58</f>
        <v/>
      </c>
      <c r="D59" s="8">
        <f>D55+D56-D57-D58</f>
        <v/>
      </c>
      <c r="E59" s="8">
        <f>E55+E56-E57-E58</f>
        <v/>
      </c>
      <c r="F59" s="8">
        <f>F55+F56-F57-F58</f>
        <v/>
      </c>
      <c r="G59" s="8">
        <f>G55+G56-G57-G58</f>
        <v/>
      </c>
    </row>
    <row r="60">
      <c r="A60" t="inlineStr">
        <is>
          <t>Discount factor</t>
        </is>
      </c>
      <c r="B60" s="10">
        <f>1/(1+$B$50)^1</f>
        <v/>
      </c>
      <c r="C60" s="10">
        <f>1/(1+$B$50)^2</f>
        <v/>
      </c>
      <c r="D60" s="10">
        <f>1/(1+$B$50)^3</f>
        <v/>
      </c>
      <c r="E60" s="10">
        <f>1/(1+$B$50)^4</f>
        <v/>
      </c>
      <c r="F60" s="10">
        <f>1/(1+$B$50)^5</f>
        <v/>
      </c>
      <c r="G60" s="10">
        <f>1/(1+$B$50)^6</f>
        <v/>
      </c>
    </row>
    <row r="61">
      <c r="A61" t="inlineStr">
        <is>
          <t>PV of FCF</t>
        </is>
      </c>
      <c r="B61" s="8">
        <f>B59*B60</f>
        <v/>
      </c>
      <c r="C61" s="8">
        <f>C59*C60</f>
        <v/>
      </c>
      <c r="D61" s="8">
        <f>D59*D60</f>
        <v/>
      </c>
      <c r="E61" s="8">
        <f>E59*E60</f>
        <v/>
      </c>
      <c r="F61" s="8">
        <f>F59*F60</f>
        <v/>
      </c>
      <c r="G61" s="8">
        <f>G59*G60</f>
        <v/>
      </c>
    </row>
    <row r="62">
      <c r="A62" t="inlineStr">
        <is>
          <t>Terminal value (Gordon, on FY5 FCF)</t>
        </is>
      </c>
      <c r="B62" s="8">
        <f>G59*(1+Inputs!B17)/($B$50-Inputs!B17)</f>
        <v/>
      </c>
    </row>
    <row r="63">
      <c r="A63" t="inlineStr">
        <is>
          <t>PV of terminal value</t>
        </is>
      </c>
      <c r="B63" s="8">
        <f>B62*G60</f>
        <v/>
      </c>
    </row>
    <row r="64">
      <c r="A64" t="inlineStr">
        <is>
          <t>Enterprise value</t>
        </is>
      </c>
      <c r="B64" s="8">
        <f>SUM(B61:G61)+B63</f>
        <v/>
      </c>
    </row>
    <row r="65">
      <c r="A65" t="inlineStr">
        <is>
          <t>Equity value (EV less net debt)</t>
        </is>
      </c>
      <c r="B65" s="8">
        <f>B64-Inputs!B6</f>
        <v/>
      </c>
    </row>
    <row r="66">
      <c r="A66" t="inlineStr">
        <is>
          <t>Value per share (quote currency)</t>
        </is>
      </c>
      <c r="B66" s="11">
        <f>B65/Inputs!B5*Inputs!B22</f>
        <v/>
      </c>
    </row>
    <row r="69">
      <c r="A69" s="2" t="inlineStr">
        <is>
          <t>Summary</t>
        </is>
      </c>
    </row>
    <row r="70">
      <c r="A70" t="inlineStr">
        <is>
          <t>Bear / Base / Bull per share</t>
        </is>
      </c>
      <c r="B70" s="8">
        <f>B28</f>
        <v/>
      </c>
      <c r="C70" s="8">
        <f>B47</f>
        <v/>
      </c>
      <c r="D70" s="8">
        <f>B66</f>
        <v/>
      </c>
    </row>
    <row r="71">
      <c r="A71" s="2" t="inlineStr">
        <is>
          <t>Weighted target price</t>
        </is>
      </c>
      <c r="B71" s="12">
        <f>Inputs!B19*B70+Inputs!B20*C70+Inputs!B21*D70</f>
        <v/>
      </c>
    </row>
    <row r="72">
      <c r="A72" t="inlineStr">
        <is>
          <t>Current price</t>
        </is>
      </c>
      <c r="B72" s="8">
        <f>Inputs!B4</f>
        <v/>
      </c>
    </row>
    <row r="73">
      <c r="A73" s="2" t="inlineStr">
        <is>
          <t>Upside / (downside)</t>
        </is>
      </c>
      <c r="B73" s="13">
        <f>B71/B72-1</f>
        <v/>
      </c>
    </row>
    <row r="75">
      <c r="A75" s="14" t="inlineStr">
        <is>
          <t>UNITS NOTE: price is in QUOTE currency, financials in reporting currency millions — the quote-divisor input handles pence/ADS/unit pricing. If your target looks wildly off, check units first.</t>
        </is>
      </c>
    </row>
  </sheetData>
  <mergeCells count="1">
    <mergeCell ref="A75:G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Reverse DCF — what the current price already implies</t>
        </is>
      </c>
    </row>
    <row r="3">
      <c r="A3" t="inlineStr"/>
    </row>
    <row r="4">
      <c r="A4" t="inlineStr">
        <is>
          <t>Goal: find the revenue growth rate at which the Base-case DCF value EQUALS today's share price.</t>
        </is>
      </c>
    </row>
    <row r="5">
      <c r="A5" t="inlineStr">
        <is>
          <t>That 'implied growth' goes on the deck's Market Expectations slide next to your own forecast.</t>
        </is>
      </c>
    </row>
    <row r="6">
      <c r="A6" t="inlineStr"/>
    </row>
    <row r="7">
      <c r="A7" t="inlineStr">
        <is>
          <t>Steps (Excel):</t>
        </is>
      </c>
    </row>
    <row r="8">
      <c r="A8" t="inlineStr">
        <is>
          <t>1. Note the current price cell: DCF!B72 (pulled from Inputs).</t>
        </is>
      </c>
    </row>
    <row r="9">
      <c r="A9" t="inlineStr">
        <is>
          <t>2. Data → What-If Analysis → Goal Seek.</t>
        </is>
      </c>
    </row>
    <row r="10">
      <c r="A10" t="inlineStr">
        <is>
          <t>3. Set cell: DCF!C70   (Base-case value per share)</t>
        </is>
      </c>
    </row>
    <row r="11">
      <c r="A11" t="inlineStr">
        <is>
          <t>4. To value: the current share price (quote currency).</t>
        </is>
      </c>
    </row>
    <row r="12">
      <c r="A12" t="inlineStr">
        <is>
          <t>5. By changing cell: Inputs!B18   (Base revenue growth).</t>
        </is>
      </c>
    </row>
    <row r="13">
      <c r="A13" s="2" t="inlineStr">
        <is>
          <t>Implied Base-case revenue growth (after Goal Seek)</t>
        </is>
      </c>
      <c r="B13" s="9">
        <f>Inputs!B18</f>
        <v/>
      </c>
    </row>
    <row r="14">
      <c r="A14" t="inlineStr"/>
    </row>
    <row r="15">
      <c r="A15" s="2" t="inlineStr">
        <is>
          <t>Now fill this slide table for the deck:</t>
        </is>
      </c>
    </row>
    <row r="16">
      <c r="A16" s="2" t="inlineStr">
        <is>
          <t>Metric</t>
        </is>
      </c>
      <c r="B16" s="2" t="inlineStr">
        <is>
          <t>Historical</t>
        </is>
      </c>
      <c r="C16" s="2" t="inlineStr">
        <is>
          <t>Implied by price</t>
        </is>
      </c>
      <c r="D16" s="2" t="inlineStr">
        <is>
          <t>Your forecast</t>
        </is>
      </c>
      <c r="E16" s="2" t="inlineStr">
        <is>
          <t>Gap</t>
        </is>
      </c>
    </row>
    <row r="17">
      <c r="A17" t="inlineStr">
        <is>
          <t>Revenue CAGR</t>
        </is>
      </c>
      <c r="B17" s="15" t="n"/>
      <c r="C17" s="15" t="n"/>
      <c r="D17" s="15" t="n"/>
      <c r="E17" s="15" t="n"/>
    </row>
    <row r="18">
      <c r="A18" t="inlineStr">
        <is>
          <t>Operating margin</t>
        </is>
      </c>
      <c r="B18" s="15" t="n"/>
      <c r="C18" s="15" t="n"/>
      <c r="D18" s="15" t="n"/>
      <c r="E18" s="15" t="n"/>
    </row>
    <row r="19">
      <c r="A19" t="inlineStr">
        <is>
          <t>EPS growth</t>
        </is>
      </c>
      <c r="B19" s="15" t="n"/>
      <c r="C19" s="15" t="n"/>
      <c r="D19" s="15" t="n"/>
      <c r="E19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1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Trading Comps — pull every yellow cell from stockanalysis.com (same day for all)</t>
        </is>
      </c>
    </row>
    <row r="3">
      <c r="A3" s="2" t="inlineStr">
        <is>
          <t>Company</t>
        </is>
      </c>
      <c r="B3" s="2" t="inlineStr">
        <is>
          <t>Ticker</t>
        </is>
      </c>
      <c r="C3" s="2" t="inlineStr">
        <is>
          <t>Mkt cap (m)</t>
        </is>
      </c>
      <c r="D3" s="2" t="inlineStr">
        <is>
          <t>EV (m)</t>
        </is>
      </c>
      <c r="E3" s="2" t="inlineStr">
        <is>
          <t>EBITDA (m)</t>
        </is>
      </c>
      <c r="F3" s="2" t="inlineStr">
        <is>
          <t>EV/EBITDA</t>
        </is>
      </c>
      <c r="G3" s="2" t="inlineStr">
        <is>
          <t>P/E</t>
        </is>
      </c>
      <c r="H3" s="2" t="inlineStr">
        <is>
          <t>Rev. growth</t>
        </is>
      </c>
      <c r="I3" s="2" t="inlineStr">
        <is>
          <t>EBIT margin</t>
        </is>
      </c>
    </row>
    <row r="4">
      <c r="A4" t="inlineStr">
        <is>
          <t>Greggs</t>
        </is>
      </c>
      <c r="B4" t="inlineStr">
        <is>
          <t>LSE: GRG</t>
        </is>
      </c>
      <c r="C4" s="16" t="n"/>
      <c r="D4" s="16" t="n"/>
      <c r="E4" s="16" t="n"/>
      <c r="F4" s="17">
        <f>IF(OR(D4="",E4=""),"",D4/E4)</f>
        <v/>
      </c>
      <c r="G4" s="18" t="n"/>
      <c r="H4" s="4" t="n"/>
      <c r="I4" s="4" t="n"/>
    </row>
    <row r="5">
      <c r="A5" t="inlineStr">
        <is>
          <t>The Restaurant Group</t>
        </is>
      </c>
      <c r="B5" t="inlineStr">
        <is>
          <t>LSE: RTN</t>
        </is>
      </c>
      <c r="C5" s="16" t="n"/>
      <c r="D5" s="16" t="n"/>
      <c r="E5" s="16" t="n"/>
      <c r="F5" s="17">
        <f>IF(OR(D5="",E5=""),"",D5/E5)</f>
        <v/>
      </c>
      <c r="G5" s="18" t="n"/>
      <c r="H5" s="4" t="n"/>
      <c r="I5" s="4" t="n"/>
    </row>
    <row r="6">
      <c r="A6" t="inlineStr">
        <is>
          <t>[INSERT optional 3rd]</t>
        </is>
      </c>
      <c r="B6" t="inlineStr"/>
      <c r="C6" s="16" t="n"/>
      <c r="D6" s="16" t="n"/>
      <c r="E6" s="16" t="n"/>
      <c r="F6" s="17">
        <f>IF(OR(D6="",E6=""),"",D6/E6)</f>
        <v/>
      </c>
      <c r="G6" s="18" t="n"/>
      <c r="H6" s="4" t="n"/>
      <c r="I6" s="4" t="n"/>
    </row>
    <row r="7">
      <c r="A7" t="inlineStr">
        <is>
          <t>[INSERT optional extra comp]</t>
        </is>
      </c>
      <c r="B7" t="inlineStr"/>
      <c r="C7" s="16" t="n"/>
      <c r="D7" s="16" t="n"/>
      <c r="E7" s="16" t="n"/>
      <c r="F7" s="17">
        <f>IF(OR(D7="",E7=""),"",D7/E7)</f>
        <v/>
      </c>
      <c r="G7" s="18" t="n"/>
      <c r="H7" s="4" t="n"/>
      <c r="I7" s="4" t="n"/>
    </row>
    <row r="8">
      <c r="A8" t="inlineStr">
        <is>
          <t>Domino's Pizza Group</t>
        </is>
      </c>
      <c r="B8" t="inlineStr">
        <is>
          <t>LSE: DOM</t>
        </is>
      </c>
      <c r="C8" s="16" t="n"/>
      <c r="D8" s="16" t="n"/>
      <c r="E8" s="16" t="n"/>
      <c r="F8" s="17">
        <f>IF(OR(D8="",E8=""),"",D8/E8)</f>
        <v/>
      </c>
      <c r="G8" s="18" t="n"/>
      <c r="H8" s="4" t="n"/>
      <c r="I8" s="4" t="n"/>
    </row>
    <row r="9">
      <c r="A9" s="2" t="inlineStr">
        <is>
          <t>Median (peers only)</t>
        </is>
      </c>
      <c r="F9" s="17">
        <f>MEDIAN(F4:F7)</f>
        <v/>
      </c>
      <c r="G9" s="17">
        <f>MEDIAN(G4:G7)</f>
        <v/>
      </c>
      <c r="H9" s="9">
        <f>MEDIAN(H4:H7)</f>
        <v/>
      </c>
      <c r="I9" s="9">
        <f>MEDIAN(I4:I7)</f>
        <v/>
      </c>
    </row>
    <row r="11">
      <c r="A11" s="14" t="inlineStr">
        <is>
          <t>If a judge asks why your target should trade above/below the median: answer with growth, margin, and ROIC differences. Have the sentence ready.</t>
        </is>
      </c>
    </row>
  </sheetData>
  <mergeCells count="1">
    <mergeCell ref="A11:I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Sources — every number, where from, when pulled (becomes deck Appendix D)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Source</t>
        </is>
      </c>
      <c r="D3" s="2" t="inlineStr">
        <is>
          <t>Date pulled</t>
        </is>
      </c>
    </row>
    <row r="4">
      <c r="A4" t="inlineStr">
        <is>
          <t>Share price</t>
        </is>
      </c>
      <c r="B4" s="15" t="n"/>
      <c r="C4" s="15" t="n"/>
      <c r="D4" s="15" t="n"/>
    </row>
    <row r="5">
      <c r="A5" t="inlineStr">
        <is>
          <t>Shares outstanding</t>
        </is>
      </c>
      <c r="B5" s="15" t="n"/>
      <c r="C5" s="15" t="n"/>
      <c r="D5" s="15" t="n"/>
    </row>
    <row r="6">
      <c r="A6" t="inlineStr">
        <is>
          <t>Net debt</t>
        </is>
      </c>
      <c r="B6" s="15" t="n"/>
      <c r="C6" s="15" t="n"/>
      <c r="D6" s="15" t="n"/>
    </row>
    <row r="7">
      <c r="A7" t="inlineStr">
        <is>
          <t>Beta</t>
        </is>
      </c>
      <c r="B7" s="15" t="n"/>
      <c r="C7" s="15" t="n"/>
      <c r="D7" s="15" t="n"/>
    </row>
    <row r="8">
      <c r="A8" t="inlineStr">
        <is>
          <t>Risk-free rate</t>
        </is>
      </c>
      <c r="B8" s="15" t="n"/>
      <c r="C8" s="15" t="n"/>
      <c r="D8" s="15" t="n"/>
    </row>
    <row r="9">
      <c r="A9" t="inlineStr">
        <is>
          <t>Equity risk premium</t>
        </is>
      </c>
      <c r="B9" s="15" t="n"/>
      <c r="C9" s="15" t="n"/>
      <c r="D9" s="15" t="n"/>
    </row>
    <row r="10">
      <c r="A10" t="inlineStr">
        <is>
          <t>Pre-tax cost of debt</t>
        </is>
      </c>
      <c r="B10" s="15" t="n"/>
      <c r="C10" s="15" t="n"/>
      <c r="D10" s="15" t="n"/>
    </row>
    <row r="11">
      <c r="A11" t="inlineStr">
        <is>
          <t>Tax rate</t>
        </is>
      </c>
      <c r="B11" s="15" t="n"/>
      <c r="C11" s="15" t="n"/>
      <c r="D11" s="15" t="n"/>
    </row>
    <row r="12">
      <c r="A12" t="inlineStr">
        <is>
          <t>FY0 revenue</t>
        </is>
      </c>
      <c r="B12" s="15" t="n"/>
      <c r="C12" s="15" t="n"/>
      <c r="D12" s="15" t="n"/>
    </row>
    <row r="13">
      <c r="A13" t="inlineStr">
        <is>
          <t>FY0 EBIT margin</t>
        </is>
      </c>
      <c r="B13" s="15" t="n"/>
      <c r="C13" s="15" t="n"/>
      <c r="D13" s="15" t="n"/>
    </row>
    <row r="14">
      <c r="A14" t="inlineStr">
        <is>
          <t>D&amp;A % of revenue</t>
        </is>
      </c>
      <c r="B14" s="15" t="n"/>
      <c r="C14" s="15" t="n"/>
      <c r="D14" s="15" t="n"/>
    </row>
    <row r="15">
      <c r="A15" t="inlineStr">
        <is>
          <t>Capex % of revenue</t>
        </is>
      </c>
      <c r="B15" s="15" t="n"/>
      <c r="C15" s="15" t="n"/>
      <c r="D15" s="15" t="n"/>
    </row>
    <row r="16">
      <c r="A16" t="inlineStr">
        <is>
          <t>NWC % of revenue</t>
        </is>
      </c>
      <c r="B16" s="15" t="n"/>
      <c r="C16" s="15" t="n"/>
      <c r="D16" s="15" t="n"/>
    </row>
    <row r="17">
      <c r="A17" t="inlineStr">
        <is>
          <t>Terminal growth</t>
        </is>
      </c>
      <c r="B17" s="15" t="n"/>
      <c r="C17" s="15" t="n"/>
      <c r="D17" s="15" t="n"/>
    </row>
    <row r="18">
      <c r="A18" t="inlineStr">
        <is>
          <t>Base revenue growth</t>
        </is>
      </c>
      <c r="B18" s="15" t="n"/>
      <c r="C18" s="15" t="n"/>
      <c r="D18" s="15" t="n"/>
    </row>
    <row r="19">
      <c r="A19" t="inlineStr">
        <is>
          <t>Scenario weights &amp; multipliers</t>
        </is>
      </c>
      <c r="B19" s="15" t="n"/>
      <c r="C19" s="15" t="n"/>
      <c r="D19" s="15" t="n"/>
    </row>
    <row r="20">
      <c r="A20" t="inlineStr">
        <is>
          <t>Comp figures (all peers)</t>
        </is>
      </c>
      <c r="B20" s="15" t="n"/>
      <c r="C20" s="15" t="n"/>
      <c r="D20" s="15" t="n"/>
    </row>
    <row r="21">
      <c r="A21" t="inlineStr">
        <is>
          <t>Reverse-DCF implied growth</t>
        </is>
      </c>
      <c r="B21" s="15" t="n"/>
      <c r="C21" s="15" t="n"/>
      <c r="D21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2026-08-13T02:23:51Z</dcterms:created>
  <dcterms:modified xmlns:dcterms="http://purl.org/dc/terms/" xmlns:xsi="http://www.w3.org/2001/XMLSchema-instance" xsi:type="dcterms:W3CDTF">2026-08-13T02:23:51Z</dcterms:modified>
</cp:coreProperties>
</file>