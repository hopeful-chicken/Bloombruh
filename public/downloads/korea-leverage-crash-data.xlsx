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imeline" sheetId="2" state="visible" r:id="rId2"/>
    <sheet xmlns:r="http://schemas.openxmlformats.org/officeDocument/2006/relationships" name="Price Data" sheetId="3" state="visible" r:id="rId3"/>
    <sheet xmlns:r="http://schemas.openxmlformats.org/officeDocument/2006/relationships" name="Leverage Data" sheetId="4" state="visible" r:id="rId4"/>
    <sheet xmlns:r="http://schemas.openxmlformats.org/officeDocument/2006/relationships" name="Bull vs Bear" sheetId="5" state="visible" r:id="rId5"/>
    <sheet xmlns:r="http://schemas.openxmlformats.org/officeDocument/2006/relationships" name="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color rgb="00000000"/>
      <sz val="10"/>
    </font>
    <font>
      <name val="Arial"/>
      <color rgb="00404040"/>
      <sz val="10"/>
    </font>
    <font>
      <name val="Arial"/>
      <b val="1"/>
      <color rgb="00FFFFFF"/>
      <sz val="10"/>
    </font>
    <font>
      <name val="Arial"/>
      <color rgb="001F4E78"/>
      <sz val="10"/>
    </font>
    <font>
      <name val="Arial"/>
      <b val="1"/>
      <color rgb="00000000"/>
      <sz val="10"/>
    </font>
    <font>
      <name val="Arial"/>
      <color rgb="001B5E20"/>
      <sz val="10"/>
    </font>
    <font>
      <name val="Arial"/>
      <color rgb="00B71C1C"/>
      <sz val="10"/>
    </font>
    <font>
      <name val="Arial"/>
      <color rgb="001155CC"/>
      <sz val="9"/>
      <u val="single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6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164" fontId="3" fillId="0" borderId="1" pivotButton="0" quotePrefix="0" xfId="0"/>
    <xf numFmtId="0" fontId="7" fillId="0" borderId="0" pivotButton="0" quotePrefix="0" xfId="0"/>
    <xf numFmtId="164" fontId="3" fillId="3" borderId="0" pivotButton="0" quotePrefix="0" xfId="0"/>
    <xf numFmtId="0" fontId="6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bloomberg.com/news/articles/2026-07-09/sk-hynix-is-said-to-price-us-share-offering-at-149-apiece-mrdz562z" TargetMode="External" Id="rId1"/><Relationship Type="http://schemas.openxmlformats.org/officeDocument/2006/relationships/hyperlink" Target="https://finance.yahoo.com/markets/stocks/articles/sk-hynix-nasdaq-debut-26-113118390.html" TargetMode="External" Id="rId2"/><Relationship Type="http://schemas.openxmlformats.org/officeDocument/2006/relationships/hyperlink" Target="https://www.koreajoongangdaily.com/business/capital-exodus-hits-kospi-after-sk-hynixs-blockbuster-nasdaq-debut/12769678" TargetMode="External" Id="rId3"/><Relationship Type="http://schemas.openxmlformats.org/officeDocument/2006/relationships/hyperlink" Target="https://www.cnbc.com/2026/07/20/give-me-my-money-back-south-korean-traders-leveraged-bets-unravel.html" TargetMode="External" Id="rId4"/><Relationship Type="http://schemas.openxmlformats.org/officeDocument/2006/relationships/hyperlink" Target="https://www.cnbc.com/2026/07/29/korea-leveraged-etf-kodex-sk-hynix.html" TargetMode="External" Id="rId5"/><Relationship Type="http://schemas.openxmlformats.org/officeDocument/2006/relationships/hyperlink" Target="https://finance.biggo.com/news/1046f613-8e0d-4326-bd38-2d90a094e2cb" TargetMode="External" Id="rId6"/><Relationship Type="http://schemas.openxmlformats.org/officeDocument/2006/relationships/hyperlink" Target="https://www.kucoin.com/news/flash/south-korea-s-kospi-index-plummets-23-in-july-2026-triggering-record-circuit-breakers" TargetMode="External" Id="rId7"/><Relationship Type="http://schemas.openxmlformats.org/officeDocument/2006/relationships/hyperlink" Target="https://finance.yahoo.com/markets/stocks/articles/south-korea-stock-market-crash-092957385.html" TargetMode="External" Id="rId8"/><Relationship Type="http://schemas.openxmlformats.org/officeDocument/2006/relationships/hyperlink" Target="https://www.tomshardware.com/tech-industry/semiconductors/china-begins-mass-production-of-domestic-immersion-duv-lithography-machines" TargetMode="External" Id="rId9"/><Relationship Type="http://schemas.openxmlformats.org/officeDocument/2006/relationships/hyperlink" Target="https://www.cnbc.com/2026/07/28/china-chipmaking-duv-tool-asml-explained.html" TargetMode="External" Id="rId10"/><Relationship Type="http://schemas.openxmlformats.org/officeDocument/2006/relationships/hyperlink" Target="https://news.skhynix.com/en/q2-2026-business-results/" TargetMode="External" Id="rId11"/><Relationship Type="http://schemas.openxmlformats.org/officeDocument/2006/relationships/hyperlink" Target="https://finance.biggo.com/news/KR_000660.KS_2026-07-28" TargetMode="External" Id="rId12"/><Relationship Type="http://schemas.openxmlformats.org/officeDocument/2006/relationships/hyperlink" Target="https://www.cnbc.com/2026/07/29/chip-selloff-sk-hynix-samsung-softbank.html" TargetMode="External" Id="rId13"/><Relationship Type="http://schemas.openxmlformats.org/officeDocument/2006/relationships/hyperlink" Target="https://www.cnbc.com/2026/08/06/asia-tech-selloff-wall-street-samsung-sk-hynix.html" TargetMode="External" Id="rId14"/><Relationship Type="http://schemas.openxmlformats.org/officeDocument/2006/relationships/hyperlink" Target="https://finance.yahoo.com/markets/world-indices/articles/south-korea-holds-emergency-meeting-103240901.html" TargetMode="External" Id="rId15"/><Relationship Type="http://schemas.openxmlformats.org/officeDocument/2006/relationships/hyperlink" Target="https://en.bloomingbit.io/feed/news/117526" TargetMode="External" Id="rId16"/><Relationship Type="http://schemas.openxmlformats.org/officeDocument/2006/relationships/hyperlink" Target="https://www.koreajoongangdaily.com/opinion/nps-becomes-an-amplifier-not-a-stabilizer/12782277" TargetMode="External" Id="rId17"/><Relationship Type="http://schemas.openxmlformats.org/officeDocument/2006/relationships/hyperlink" Target="https://en.sedaily.com/finance/2026/08/06/kospi-falls-to-6200-level-as-chip-giants-plunge-kosdaq" TargetMode="External" Id="rId18"/><Relationship Type="http://schemas.openxmlformats.org/officeDocument/2006/relationships/hyperlink" Target="https://aiweekly.co/alerts/amazon-microsoft-alphabet-meta-plan-725b-ai-capex-in-2026" TargetMode="External" Id="rId19"/><Relationship Type="http://schemas.openxmlformats.org/officeDocument/2006/relationships/hyperlink" Target="https://www.cnbc.com/2026/08/04/michael-burry-bets-against-rally-we-are-near-a-major-top.html" TargetMode="External" Id="rId20"/><Relationship Type="http://schemas.openxmlformats.org/officeDocument/2006/relationships/hyperlink" Target="https://www.cnbc.com/2026/08/06/asia-tech-sell-off-has-not-derailed-ai-investment-cycle-jp-morgan-says.html" TargetMode="External" Id="rId21"/><Relationship Type="http://schemas.openxmlformats.org/officeDocument/2006/relationships/hyperlink" Target="https://twelvedata.com (live-fetched 2026-08-07, see Price Data sheet)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90" customWidth="1" min="3" max="3"/>
  </cols>
  <sheetData>
    <row r="2">
      <c r="B2" s="1" t="inlineStr">
        <is>
          <t>Korea's Leverage Crash — Data Workbook</t>
        </is>
      </c>
    </row>
    <row r="3">
      <c r="B3" s="2" t="inlineStr">
        <is>
          <t>SK Hynix, the KOSPI, and the July-August 2026 selloff — companion to the My Analysis write-up on bloombruh.com</t>
        </is>
      </c>
    </row>
    <row r="5">
      <c r="B5" s="3" t="inlineStr"/>
    </row>
    <row r="6">
      <c r="B6" s="3" t="inlineStr">
        <is>
          <t>What's in this workbook:</t>
        </is>
      </c>
    </row>
    <row r="7">
      <c r="B7" s="4" t="inlineStr">
        <is>
          <t xml:space="preserve">  Timeline        — the real, dated sequence of events, 10 July to 6 August 2026</t>
        </is>
      </c>
    </row>
    <row r="8">
      <c r="B8" s="4" t="inlineStr">
        <is>
          <t xml:space="preserve">  Price Data      — real daily closes for SKHY (SK Hynix ADR) and MU (Micron), fetched live via Twelve Data,</t>
        </is>
      </c>
    </row>
    <row r="9">
      <c r="B9" s="4" t="inlineStr">
        <is>
          <t xml:space="preserve">                    plus indexed and daily % change columns (live formulas, not hardcoded)</t>
        </is>
      </c>
    </row>
    <row r="10">
      <c r="B10" s="4" t="inlineStr">
        <is>
          <t xml:space="preserve">  Leverage Data   — the leveraged-ETF and margin-call figures behind the crash's Korea-specific severity</t>
        </is>
      </c>
    </row>
    <row r="11">
      <c r="B11" s="4" t="inlineStr">
        <is>
          <t xml:space="preserve">  Bull vs Bear    — the case for and against, in the same numbers used in the write-up</t>
        </is>
      </c>
    </row>
    <row r="12">
      <c r="B12" s="4" t="inlineStr">
        <is>
          <t xml:space="preserve">  Sources         — every source this workbook and the write-up draw on</t>
        </is>
      </c>
    </row>
    <row r="13">
      <c r="B13" s="3" t="inlineStr"/>
    </row>
    <row r="14">
      <c r="B14" s="3" t="inlineStr">
        <is>
          <t>Same discipline as every other model on this site: blue text is a hardcoded input (a real, sourced</t>
        </is>
      </c>
    </row>
    <row r="15">
      <c r="B15" s="3" t="inlineStr">
        <is>
          <t>number), black text is a formula, yellow fill marks a figure worth double-checking against the live</t>
        </is>
      </c>
    </row>
    <row r="16">
      <c r="B16" s="3" t="inlineStr">
        <is>
          <t>chart on the site if you're using this for your own work. Nothing here is a live feed — every number</t>
        </is>
      </c>
    </row>
    <row r="17">
      <c r="B17" s="3" t="inlineStr">
        <is>
          <t>is a dated snapshot as of 7 August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5" customWidth="1" min="2" max="2"/>
    <col width="14" customWidth="1" min="3" max="3"/>
  </cols>
  <sheetData>
    <row r="1">
      <c r="A1" s="1" t="inlineStr">
        <is>
          <t>Timeline — how the crash actually unfolded</t>
        </is>
      </c>
    </row>
    <row r="3">
      <c r="A3" s="5" t="inlineStr">
        <is>
          <t>Date</t>
        </is>
      </c>
      <c r="B3" s="5" t="inlineStr">
        <is>
          <t>Event</t>
        </is>
      </c>
      <c r="C3" s="5" t="inlineStr">
        <is>
          <t>Category</t>
        </is>
      </c>
    </row>
    <row r="4">
      <c r="A4" s="6" t="inlineStr">
        <is>
          <t>2026-04-28</t>
        </is>
      </c>
      <c r="B4" s="7" t="inlineStr">
        <is>
          <t>Korea amends ETF rules, raising single-stock concentration limit from 30% to 100% (previously required 10+ stocks)</t>
        </is>
      </c>
      <c r="C4" s="7" t="inlineStr">
        <is>
          <t>Policy</t>
        </is>
      </c>
    </row>
    <row r="5">
      <c r="A5" s="6" t="inlineStr">
        <is>
          <t>2026-05-27</t>
        </is>
      </c>
      <c r="B5" s="7" t="inlineStr">
        <is>
          <t>Single-stock leveraged ETFs (2x daily) tied to Samsung and SK Hynix begin trading in Korea</t>
        </is>
      </c>
      <c r="C5" s="7" t="inlineStr">
        <is>
          <t>Leverage</t>
        </is>
      </c>
    </row>
    <row r="6">
      <c r="A6" s="6" t="inlineStr">
        <is>
          <t>2026-07-10</t>
        </is>
      </c>
      <c r="B6" s="7" t="inlineStr">
        <is>
          <t>SK Hynix completes $26.5bn Nasdaq ADR listing — largest US listing ever by a foreign company</t>
        </is>
      </c>
      <c r="C6" s="7" t="inlineStr">
        <is>
          <t>Listing</t>
        </is>
      </c>
    </row>
    <row r="7">
      <c r="A7" s="6" t="inlineStr">
        <is>
          <t>2026-07-13</t>
        </is>
      </c>
      <c r="B7" s="7" t="inlineStr">
        <is>
          <t>Outstanding leveraged bets peak near W29.2tn (~$19.7bn); 1.2m retail accounts have hit margin calls</t>
        </is>
      </c>
      <c r="C7" s="7" t="inlineStr">
        <is>
          <t>Leverage</t>
        </is>
      </c>
    </row>
    <row r="8">
      <c r="A8" s="6" t="inlineStr">
        <is>
          <t>2026-07-14</t>
        </is>
      </c>
      <c r="B8" s="7" t="inlineStr">
        <is>
          <t>Seoul-listed SK Hynix common shares fall 15.37%; the new Nasdaq ADR rises 27% the SAME day</t>
        </is>
      </c>
      <c r="C8" s="7" t="inlineStr">
        <is>
          <t>Divergence</t>
        </is>
      </c>
    </row>
    <row r="9">
      <c r="A9" s="6" t="inlineStr">
        <is>
          <t>2026-07-16</t>
        </is>
      </c>
      <c r="B9" s="7" t="inlineStr">
        <is>
          <t>KOSPI down ~25% from its June peak</t>
        </is>
      </c>
      <c r="C9" s="7" t="inlineStr">
        <is>
          <t>Index</t>
        </is>
      </c>
    </row>
    <row r="10">
      <c r="A10" s="6" t="inlineStr">
        <is>
          <t>2026-07-20</t>
        </is>
      </c>
      <c r="B10" s="7" t="inlineStr">
        <is>
          <t>Bank of Korea raises rates into an already-fragile market</t>
        </is>
      </c>
      <c r="C10" s="7" t="inlineStr">
        <is>
          <t>Macro</t>
        </is>
      </c>
    </row>
    <row r="11">
      <c r="A11" s="6" t="inlineStr">
        <is>
          <t>2026-07-27</t>
        </is>
      </c>
      <c r="B11" s="7" t="inlineStr">
        <is>
          <t>China's Shanghai Aishengna reports mass production of homegrown immersion DUV lithography tools</t>
        </is>
      </c>
      <c r="C11" s="7" t="inlineStr">
        <is>
          <t>Competitive</t>
        </is>
      </c>
    </row>
    <row r="12">
      <c r="A12" s="6" t="inlineStr">
        <is>
          <t>2026-07-28</t>
        </is>
      </c>
      <c r="B12" s="7" t="inlineStr">
        <is>
          <t>SK Hynix reports Q2: revenue W79.32tn (+257% YoY), 76% operating margin — record quarter, missed ~W84tn consensus</t>
        </is>
      </c>
      <c r="C12" s="7" t="inlineStr">
        <is>
          <t>Earnings</t>
        </is>
      </c>
    </row>
    <row r="13">
      <c r="A13" s="6" t="inlineStr">
        <is>
          <t>2026-07-29</t>
        </is>
      </c>
      <c r="B13" s="7" t="inlineStr">
        <is>
          <t>Trough. SKHY ADR bottoms at $126.79. Government holds emergency market meeting after a 2-day W864.5tn wipeout</t>
        </is>
      </c>
      <c r="C13" s="7" t="inlineStr">
        <is>
          <t>Trough</t>
        </is>
      </c>
    </row>
    <row r="14">
      <c r="A14" s="6" t="inlineStr">
        <is>
          <t>2026-07-29</t>
        </is>
      </c>
      <c r="B14" s="7" t="inlineStr">
        <is>
          <t>FSC suspends new single-stock leveraged ETF listings, bans marketing, triples min. deposit to W30m</t>
        </is>
      </c>
      <c r="C14" s="7" t="inlineStr">
        <is>
          <t>Policy</t>
        </is>
      </c>
    </row>
    <row r="15">
      <c r="A15" s="6" t="inlineStr">
        <is>
          <t>2026-08-05</t>
        </is>
      </c>
      <c r="B15" s="7" t="inlineStr">
        <is>
          <t>KOSPI +3.76% to 6,598 on US-Iran deal hopes</t>
        </is>
      </c>
      <c r="C15" s="7" t="inlineStr">
        <is>
          <t>Rebound</t>
        </is>
      </c>
    </row>
    <row r="16">
      <c r="A16" s="6" t="inlineStr">
        <is>
          <t>2026-08-06</t>
        </is>
      </c>
      <c r="B16" s="7" t="inlineStr">
        <is>
          <t>KOSPI -4.58% to 6,296.38 as a broad Wall St. tech selloff hits Samsung (-6.5%) and SK Hynix (-10.67%)</t>
        </is>
      </c>
      <c r="C16" s="7" t="inlineStr">
        <is>
          <t>Fresh selloff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0" customWidth="1" min="3" max="3"/>
    <col width="15" customWidth="1" min="4" max="4"/>
    <col width="13" customWidth="1" min="5" max="5"/>
    <col width="18" customWidth="1" min="6" max="6"/>
    <col width="14" customWidth="1" min="7" max="7"/>
  </cols>
  <sheetData>
    <row r="1">
      <c r="A1" s="1" t="inlineStr">
        <is>
          <t>Real daily closes — SKHY (SK Hynix ADR) vs. MU (Micron), fetched live via Twelve Data, 2026-08-07</t>
        </is>
      </c>
    </row>
    <row r="3">
      <c r="A3" s="5" t="inlineStr">
        <is>
          <t>Date</t>
        </is>
      </c>
      <c r="B3" s="5" t="inlineStr">
        <is>
          <t>SKHY Close ($)</t>
        </is>
      </c>
      <c r="C3" s="5" t="inlineStr">
        <is>
          <t>SKHY Indexed (7/14=100)</t>
        </is>
      </c>
      <c r="D3" s="5" t="inlineStr">
        <is>
          <t>SKHY Daily % Chg</t>
        </is>
      </c>
      <c r="E3" s="5" t="inlineStr">
        <is>
          <t>MU Close ($)</t>
        </is>
      </c>
      <c r="F3" s="5" t="inlineStr">
        <is>
          <t>MU Indexed (7/14=100)</t>
        </is>
      </c>
      <c r="G3" s="5" t="inlineStr">
        <is>
          <t>MU Daily % Chg</t>
        </is>
      </c>
    </row>
    <row r="4">
      <c r="A4" s="8" t="inlineStr">
        <is>
          <t>2026-07-10</t>
        </is>
      </c>
      <c r="B4" s="8" t="n">
        <v>168.01</v>
      </c>
      <c r="C4" s="9">
        <f>B4/$B$6*100</f>
        <v/>
      </c>
      <c r="D4" s="10" t="n"/>
      <c r="E4" s="8" t="n">
        <v>979.3</v>
      </c>
      <c r="F4" s="9">
        <f>E4/$E$6*100</f>
        <v/>
      </c>
      <c r="G4" s="10" t="n"/>
    </row>
    <row r="5">
      <c r="A5" s="8" t="inlineStr">
        <is>
          <t>2026-07-13</t>
        </is>
      </c>
      <c r="B5" s="8" t="n">
        <v>152.35</v>
      </c>
      <c r="C5" s="9">
        <f>B5/$B$6*100</f>
        <v/>
      </c>
      <c r="D5" s="11">
        <f>B5/B4-1</f>
        <v/>
      </c>
      <c r="E5" s="8" t="n">
        <v>937</v>
      </c>
      <c r="F5" s="9">
        <f>E5/$E$6*100</f>
        <v/>
      </c>
      <c r="G5" s="11">
        <f>E5/E4-1</f>
        <v/>
      </c>
    </row>
    <row r="6">
      <c r="A6" s="8" t="inlineStr">
        <is>
          <t>2026-07-14</t>
        </is>
      </c>
      <c r="B6" s="8" t="n">
        <v>193.92</v>
      </c>
      <c r="C6" s="9">
        <f>B6/$B$6*100</f>
        <v/>
      </c>
      <c r="D6" s="11">
        <f>B6/B5-1</f>
        <v/>
      </c>
      <c r="E6" s="8" t="n">
        <v>983.12</v>
      </c>
      <c r="F6" s="9">
        <f>E6/$E$6*100</f>
        <v/>
      </c>
      <c r="G6" s="11">
        <f>E6/E5-1</f>
        <v/>
      </c>
    </row>
    <row r="7">
      <c r="A7" s="8" t="inlineStr">
        <is>
          <t>2026-07-15</t>
        </is>
      </c>
      <c r="B7" s="8" t="n">
        <v>176.46</v>
      </c>
      <c r="C7" s="9">
        <f>B7/$B$6*100</f>
        <v/>
      </c>
      <c r="D7" s="11">
        <f>B7/B6-1</f>
        <v/>
      </c>
      <c r="E7" s="8" t="n">
        <v>904.28</v>
      </c>
      <c r="F7" s="9">
        <f>E7/$E$6*100</f>
        <v/>
      </c>
      <c r="G7" s="11">
        <f>E7/E6-1</f>
        <v/>
      </c>
    </row>
    <row r="8">
      <c r="A8" s="8" t="inlineStr">
        <is>
          <t>2026-07-16</t>
        </is>
      </c>
      <c r="B8" s="8" t="n">
        <v>152.31</v>
      </c>
      <c r="C8" s="9">
        <f>B8/$B$6*100</f>
        <v/>
      </c>
      <c r="D8" s="11">
        <f>B8/B7-1</f>
        <v/>
      </c>
      <c r="E8" s="8" t="n">
        <v>853.2</v>
      </c>
      <c r="F8" s="9">
        <f>E8/$E$6*100</f>
        <v/>
      </c>
      <c r="G8" s="11">
        <f>E8/E7-1</f>
        <v/>
      </c>
    </row>
    <row r="9">
      <c r="A9" s="8" t="inlineStr">
        <is>
          <t>2026-07-17</t>
        </is>
      </c>
      <c r="B9" s="8" t="n">
        <v>154.03</v>
      </c>
      <c r="C9" s="9">
        <f>B9/$B$6*100</f>
        <v/>
      </c>
      <c r="D9" s="11">
        <f>B9/B8-1</f>
        <v/>
      </c>
      <c r="E9" s="8" t="n">
        <v>848.95</v>
      </c>
      <c r="F9" s="9">
        <f>E9/$E$6*100</f>
        <v/>
      </c>
      <c r="G9" s="11">
        <f>E9/E8-1</f>
        <v/>
      </c>
    </row>
    <row r="10">
      <c r="A10" s="8" t="inlineStr">
        <is>
          <t>2026-07-20</t>
        </is>
      </c>
      <c r="B10" s="8" t="n">
        <v>151.16</v>
      </c>
      <c r="C10" s="9">
        <f>B10/$B$6*100</f>
        <v/>
      </c>
      <c r="D10" s="11">
        <f>B10/B9-1</f>
        <v/>
      </c>
      <c r="E10" s="8" t="n">
        <v>865.46</v>
      </c>
      <c r="F10" s="9">
        <f>E10/$E$6*100</f>
        <v/>
      </c>
      <c r="G10" s="11">
        <f>E10/E9-1</f>
        <v/>
      </c>
    </row>
    <row r="11">
      <c r="A11" s="8" t="inlineStr">
        <is>
          <t>2026-07-21</t>
        </is>
      </c>
      <c r="B11" s="8" t="n">
        <v>171.94</v>
      </c>
      <c r="C11" s="9">
        <f>B11/$B$6*100</f>
        <v/>
      </c>
      <c r="D11" s="11">
        <f>B11/B10-1</f>
        <v/>
      </c>
      <c r="E11" s="8" t="n">
        <v>970.8200000000001</v>
      </c>
      <c r="F11" s="9">
        <f>E11/$E$6*100</f>
        <v/>
      </c>
      <c r="G11" s="11">
        <f>E11/E10-1</f>
        <v/>
      </c>
    </row>
    <row r="12">
      <c r="A12" s="8" t="inlineStr">
        <is>
          <t>2026-07-22</t>
        </is>
      </c>
      <c r="B12" s="8" t="n">
        <v>165.27</v>
      </c>
      <c r="C12" s="9">
        <f>B12/$B$6*100</f>
        <v/>
      </c>
      <c r="D12" s="11">
        <f>B12/B11-1</f>
        <v/>
      </c>
      <c r="E12" s="8" t="n">
        <v>959.48</v>
      </c>
      <c r="F12" s="9">
        <f>E12/$E$6*100</f>
        <v/>
      </c>
      <c r="G12" s="11">
        <f>E12/E11-1</f>
        <v/>
      </c>
    </row>
    <row r="13">
      <c r="A13" s="8" t="inlineStr">
        <is>
          <t>2026-07-23</t>
        </is>
      </c>
      <c r="B13" s="8" t="n">
        <v>169.5</v>
      </c>
      <c r="C13" s="9">
        <f>B13/$B$6*100</f>
        <v/>
      </c>
      <c r="D13" s="11">
        <f>B13/B12-1</f>
        <v/>
      </c>
      <c r="E13" s="8" t="n">
        <v>990.21</v>
      </c>
      <c r="F13" s="9">
        <f>E13/$E$6*100</f>
        <v/>
      </c>
      <c r="G13" s="11">
        <f>E13/E12-1</f>
        <v/>
      </c>
    </row>
    <row r="14">
      <c r="A14" s="8" t="inlineStr">
        <is>
          <t>2026-07-24</t>
        </is>
      </c>
      <c r="B14" s="8" t="n">
        <v>154.57</v>
      </c>
      <c r="C14" s="9">
        <f>B14/$B$6*100</f>
        <v/>
      </c>
      <c r="D14" s="11">
        <f>B14/B13-1</f>
        <v/>
      </c>
      <c r="E14" s="8" t="n">
        <v>920.95</v>
      </c>
      <c r="F14" s="9">
        <f>E14/$E$6*100</f>
        <v/>
      </c>
      <c r="G14" s="11">
        <f>E14/E13-1</f>
        <v/>
      </c>
    </row>
    <row r="15">
      <c r="A15" s="8" t="inlineStr">
        <is>
          <t>2026-07-27</t>
        </is>
      </c>
      <c r="B15" s="8" t="n">
        <v>143.02</v>
      </c>
      <c r="C15" s="9">
        <f>B15/$B$6*100</f>
        <v/>
      </c>
      <c r="D15" s="11">
        <f>B15/B14-1</f>
        <v/>
      </c>
      <c r="E15" s="8" t="n">
        <v>900.2</v>
      </c>
      <c r="F15" s="9">
        <f>E15/$E$6*100</f>
        <v/>
      </c>
      <c r="G15" s="11">
        <f>E15/E14-1</f>
        <v/>
      </c>
    </row>
    <row r="16">
      <c r="A16" s="8" t="inlineStr">
        <is>
          <t>2026-07-28</t>
        </is>
      </c>
      <c r="B16" s="8" t="n">
        <v>130.17</v>
      </c>
      <c r="C16" s="9">
        <f>B16/$B$6*100</f>
        <v/>
      </c>
      <c r="D16" s="11">
        <f>B16/B15-1</f>
        <v/>
      </c>
      <c r="E16" s="8" t="n">
        <v>820.53</v>
      </c>
      <c r="F16" s="9">
        <f>E16/$E$6*100</f>
        <v/>
      </c>
      <c r="G16" s="11">
        <f>E16/E15-1</f>
        <v/>
      </c>
    </row>
    <row r="17">
      <c r="A17" s="8" t="inlineStr">
        <is>
          <t>2026-07-29</t>
        </is>
      </c>
      <c r="B17" s="8" t="n">
        <v>126.79</v>
      </c>
      <c r="C17" s="9">
        <f>B17/$B$6*100</f>
        <v/>
      </c>
      <c r="D17" s="11">
        <f>B17/B16-1</f>
        <v/>
      </c>
      <c r="E17" s="8" t="n">
        <v>739</v>
      </c>
      <c r="F17" s="9">
        <f>E17/$E$6*100</f>
        <v/>
      </c>
      <c r="G17" s="11">
        <f>E17/E16-1</f>
        <v/>
      </c>
    </row>
    <row r="18">
      <c r="A18" s="8" t="inlineStr">
        <is>
          <t>2026-07-30</t>
        </is>
      </c>
      <c r="B18" s="8" t="n">
        <v>149</v>
      </c>
      <c r="C18" s="9">
        <f>B18/$B$6*100</f>
        <v/>
      </c>
      <c r="D18" s="11">
        <f>B18/B17-1</f>
        <v/>
      </c>
      <c r="E18" s="8" t="n">
        <v>874.66</v>
      </c>
      <c r="F18" s="9">
        <f>E18/$E$6*100</f>
        <v/>
      </c>
      <c r="G18" s="11">
        <f>E18/E17-1</f>
        <v/>
      </c>
    </row>
    <row r="19">
      <c r="A19" s="8" t="inlineStr">
        <is>
          <t>2026-07-31</t>
        </is>
      </c>
      <c r="B19" s="8" t="n">
        <v>143.73</v>
      </c>
      <c r="C19" s="9">
        <f>B19/$B$6*100</f>
        <v/>
      </c>
      <c r="D19" s="11">
        <f>B19/B18-1</f>
        <v/>
      </c>
      <c r="E19" s="8" t="n">
        <v>823.03</v>
      </c>
      <c r="F19" s="9">
        <f>E19/$E$6*100</f>
        <v/>
      </c>
      <c r="G19" s="11">
        <f>E19/E18-1</f>
        <v/>
      </c>
    </row>
    <row r="20">
      <c r="A20" s="8" t="inlineStr">
        <is>
          <t>2026-08-03</t>
        </is>
      </c>
      <c r="B20" s="8" t="n">
        <v>142.72</v>
      </c>
      <c r="C20" s="9">
        <f>B20/$B$6*100</f>
        <v/>
      </c>
      <c r="D20" s="11">
        <f>B20/B19-1</f>
        <v/>
      </c>
      <c r="E20" s="8" t="n">
        <v>829.5</v>
      </c>
      <c r="F20" s="9">
        <f>E20/$E$6*100</f>
        <v/>
      </c>
      <c r="G20" s="11">
        <f>E20/E19-1</f>
        <v/>
      </c>
    </row>
    <row r="21">
      <c r="A21" s="8" t="inlineStr">
        <is>
          <t>2026-08-04</t>
        </is>
      </c>
      <c r="B21" s="8" t="n">
        <v>154.38</v>
      </c>
      <c r="C21" s="9">
        <f>B21/$B$6*100</f>
        <v/>
      </c>
      <c r="D21" s="11">
        <f>B21/B20-1</f>
        <v/>
      </c>
      <c r="E21" s="8" t="n">
        <v>892.67</v>
      </c>
      <c r="F21" s="9">
        <f>E21/$E$6*100</f>
        <v/>
      </c>
      <c r="G21" s="11">
        <f>E21/E20-1</f>
        <v/>
      </c>
    </row>
    <row r="22">
      <c r="A22" s="8" t="inlineStr">
        <is>
          <t>2026-08-05</t>
        </is>
      </c>
      <c r="B22" s="8" t="n">
        <v>151.03</v>
      </c>
      <c r="C22" s="9">
        <f>B22/$B$6*100</f>
        <v/>
      </c>
      <c r="D22" s="11">
        <f>B22/B21-1</f>
        <v/>
      </c>
      <c r="E22" s="8" t="n">
        <v>893.1900000000001</v>
      </c>
      <c r="F22" s="9">
        <f>E22/$E$6*100</f>
        <v/>
      </c>
      <c r="G22" s="11">
        <f>E22/E21-1</f>
        <v/>
      </c>
    </row>
    <row r="23">
      <c r="A23" s="8" t="inlineStr">
        <is>
          <t>2026-08-06</t>
        </is>
      </c>
      <c r="B23" s="8" t="n">
        <v>145.87</v>
      </c>
      <c r="C23" s="9">
        <f>B23/$B$6*100</f>
        <v/>
      </c>
      <c r="D23" s="11">
        <f>B23/B22-1</f>
        <v/>
      </c>
      <c r="E23" s="8" t="n">
        <v>898.97</v>
      </c>
      <c r="F23" s="9">
        <f>E23/$E$6*100</f>
        <v/>
      </c>
      <c r="G23" s="11">
        <f>E23/E22-1</f>
        <v/>
      </c>
    </row>
    <row r="26">
      <c r="A26" s="12" t="inlineStr">
        <is>
          <t>Peak (7/14) to trough (7/29):</t>
        </is>
      </c>
      <c r="B26" s="12" t="inlineStr">
        <is>
          <t>SKHY drawdown</t>
        </is>
      </c>
      <c r="C26" s="13">
        <f>B17/B6-1</f>
        <v/>
      </c>
    </row>
    <row r="27">
      <c r="B27" s="12" t="inlineStr">
        <is>
          <t>MU drawdown (unlevered US peer, same window)</t>
        </is>
      </c>
      <c r="C27" s="13">
        <f>E17/E6-1</f>
        <v/>
      </c>
    </row>
    <row r="28">
      <c r="B28" s="12" t="inlineStr">
        <is>
          <t>Implied 'Korea-specific' incremental damage</t>
        </is>
      </c>
      <c r="C28" s="13">
        <f>C26-C27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55" customWidth="1" min="3" max="3"/>
  </cols>
  <sheetData>
    <row r="1">
      <c r="A1" s="1" t="inlineStr">
        <is>
          <t>The leverage machine underneath the crash</t>
        </is>
      </c>
    </row>
    <row r="3">
      <c r="A3" s="5" t="inlineStr">
        <is>
          <t>Metric</t>
        </is>
      </c>
      <c r="B3" s="5" t="inlineStr">
        <is>
          <t>Figure</t>
        </is>
      </c>
      <c r="C3" s="5" t="inlineStr">
        <is>
          <t>Source / note</t>
        </is>
      </c>
    </row>
    <row r="4">
      <c r="A4" s="7" t="inlineStr">
        <is>
          <t>Single-stock leveraged ETFs launched</t>
        </is>
      </c>
      <c r="B4" s="14" t="inlineStr">
        <is>
          <t>27 May 2026</t>
        </is>
      </c>
      <c r="C4" s="15" t="inlineStr">
        <is>
          <t>2x daily return products tied to Samsung / SK Hynix</t>
        </is>
      </c>
    </row>
    <row r="5">
      <c r="A5" s="7" t="inlineStr">
        <is>
          <t>Net retail purchases of leveraged ETFs</t>
        </is>
      </c>
      <c r="B5" s="14" t="inlineStr">
        <is>
          <t>~W14tn (~$9.4bn)</t>
        </is>
      </c>
      <c r="C5" s="15" t="inlineStr">
        <is>
          <t>vs. ~W2tn from foreign investors</t>
        </is>
      </c>
    </row>
    <row r="6">
      <c r="A6" s="7" t="inlineStr">
        <is>
          <t>Peak outstanding leveraged bets</t>
        </is>
      </c>
      <c r="B6" s="14" t="inlineStr">
        <is>
          <t>W29.2tn (~$19.7bn)</t>
        </is>
      </c>
      <c r="C6" s="15" t="inlineStr">
        <is>
          <t>Early July 2026</t>
        </is>
      </c>
    </row>
    <row r="7">
      <c r="A7" s="7" t="inlineStr">
        <is>
          <t>Retail accounts hitting margin calls</t>
        </is>
      </c>
      <c r="B7" s="14" t="inlineStr">
        <is>
          <t>1,200,000+</t>
        </is>
      </c>
      <c r="C7" s="15" t="inlineStr">
        <is>
          <t>As of 13 July 2026</t>
        </is>
      </c>
    </row>
    <row r="8">
      <c r="A8" s="7" t="inlineStr">
        <is>
          <t>Accounts forcibly liquidated</t>
        </is>
      </c>
      <c r="B8" s="14" t="inlineStr">
        <is>
          <t>320,000 - 360,000</t>
        </is>
      </c>
      <c r="C8" s="15" t="inlineStr">
        <is>
          <t>As of mid-July 2026</t>
        </is>
      </c>
    </row>
    <row r="9">
      <c r="A9" s="7" t="inlineStr">
        <is>
          <t>Total forced liquidation value</t>
        </is>
      </c>
      <c r="B9" s="14" t="inlineStr">
        <is>
          <t>W2.3tn</t>
        </is>
      </c>
      <c r="C9" s="15" t="inlineStr">
        <is>
          <t>Over ~2.5 months</t>
        </is>
      </c>
    </row>
    <row r="10">
      <c r="A10" s="7" t="inlineStr">
        <is>
          <t>New minimum deposit for leveraged investors (post-crisis)</t>
        </is>
      </c>
      <c r="B10" s="14" t="inlineStr">
        <is>
          <t>W30m (~$20,000)</t>
        </is>
      </c>
      <c r="C10" s="15" t="inlineStr">
        <is>
          <t>Tripled by the FSC, late July 2026</t>
        </is>
      </c>
    </row>
    <row r="11">
      <c r="A11" s="7" t="inlineStr">
        <is>
          <t>KOSPI single 2-day value wipeout</t>
        </is>
      </c>
      <c r="B11" s="14" t="inlineStr">
        <is>
          <t>W864.5tn</t>
        </is>
      </c>
      <c r="C11" s="15" t="inlineStr">
        <is>
          <t>Triggered the 29 July emergency government meeting</t>
        </is>
      </c>
    </row>
    <row r="12">
      <c r="A12" s="7" t="inlineStr">
        <is>
          <t>President Lee Jae-myung disapproval rating</t>
        </is>
      </c>
      <c r="B12" s="14" t="inlineStr">
        <is>
          <t>&gt;50%</t>
        </is>
      </c>
      <c r="C12" s="15" t="inlineStr">
        <is>
          <t>First time in his term, per BigGo Finance / Bloombit reporting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60" customWidth="1" min="3" max="3"/>
  </cols>
  <sheetData>
    <row r="1">
      <c r="A1" s="1" t="inlineStr">
        <is>
          <t>The case for and against</t>
        </is>
      </c>
    </row>
    <row r="3">
      <c r="A3" s="5" t="inlineStr">
        <is>
          <t>Theme</t>
        </is>
      </c>
      <c r="B3" s="5" t="inlineStr">
        <is>
          <t>Bull case</t>
        </is>
      </c>
      <c r="C3" s="5" t="inlineStr">
        <is>
          <t>Bear case</t>
        </is>
      </c>
    </row>
    <row r="4" ht="70" customHeight="1">
      <c r="A4" s="16" t="inlineStr">
        <is>
          <t>SK Hynix Q2 result</t>
        </is>
      </c>
      <c r="B4" s="17" t="inlineStr">
        <is>
          <t>Revenue W79.32tn, +257% YoY, 76% operating margin — a genuine record quarter. 'Miss' vs. consensus (~W84tn) was a shipment-timing issue (HBM4 recognition slipping to Q3), not a demand problem.</t>
        </is>
      </c>
      <c r="C4" s="18" t="inlineStr">
        <is>
          <t>Even a record quarter missed elevated Street expectations — a real sign the market had priced in near-perfection, leaving no room for anything less.</t>
        </is>
      </c>
    </row>
    <row r="5" ht="70" customHeight="1">
      <c r="A5" s="16" t="inlineStr">
        <is>
          <t>Underlying AI demand</t>
        </is>
      </c>
      <c r="B5" s="17" t="inlineStr">
        <is>
          <t>Hyperscaler 2026 capex guidance: Amazon $200bn, Alphabet $175-185bn, Meta $115-135bn, Microsoft $190bn — $725bn combined, +77% YoY. Evercore/BofA model &gt;$1tn combined for 2027. S&amp;P Global's July PMI showed the fastest tech-equipment output growth since May 2021.</t>
        </is>
      </c>
      <c r="C5" s="18" t="inlineStr">
        <is>
          <t>Crowding and leverage across the whole AI trade (not just Korea) means positioning, not fundamentals, is doing a lot of the work in the price — a similar unwind could happen anywhere sentiment cracks next.</t>
        </is>
      </c>
    </row>
    <row r="6" ht="70" customHeight="1">
      <c r="A6" s="16" t="inlineStr">
        <is>
          <t>Analyst / investor commentary</t>
        </is>
      </c>
      <c r="B6" s="17" t="inlineStr">
        <is>
          <t>J.P. Morgan (6 Aug note): the sell-off 'had not derailed' the AI investment cycle; 'we do not see any fundamental indicators that signal meaningful weakness in the next 6-12 months.'</t>
        </is>
      </c>
      <c r="C6" s="18" t="inlineStr">
        <is>
          <t>Michael Burry (4 Aug Substack): 'I continue to believe it is possible we are near a major top, and possibly a 1987-type fall.'</t>
        </is>
      </c>
    </row>
    <row r="7" ht="70" customHeight="1">
      <c r="A7" s="16" t="inlineStr">
        <is>
          <t>China competitive threat</t>
        </is>
      </c>
      <c r="B7" s="17" t="inlineStr">
        <is>
          <t>Currently immaterial in scale: ~5 domestic DUV units expected in 2026 vs. ASML's ~130 immersion systems; China's tools reportedly still lag ASML's technology.</t>
        </is>
      </c>
      <c r="C7" s="18" t="inlineStr">
        <is>
          <t>A real, credible first step toward Chinese self-sufficiency in a category it has never mass-produced before — a genuine multi-year strategic risk even if not a 2026-2027 supply/demand issue.</t>
        </is>
      </c>
    </row>
    <row r="8" ht="70" customHeight="1">
      <c r="A8" s="16" t="inlineStr">
        <is>
          <t>2027-2028 capacity</t>
        </is>
      </c>
      <c r="B8" s="17" t="inlineStr">
        <is>
          <t>New capacity gives SK Hynix/Samsung/Micron room to keep growing into real, still-accelerating demand.</t>
        </is>
      </c>
      <c r="C8" s="18" t="inlineStr">
        <is>
          <t>Samsung, SK Hynix, Micron and Kioxia are all adding capacity simultaneously, due to reach volume in late 2027/2028 — right as hyperscaler capex growth may naturally decelerate off this year's exceptional base. The same setup that has ended every prior memory cycle.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" customWidth="1" min="1" max="1"/>
    <col width="48" customWidth="1" min="2" max="2"/>
    <col width="90" customWidth="1" min="3" max="3"/>
  </cols>
  <sheetData>
    <row r="1">
      <c r="A1" s="1" t="inlineStr">
        <is>
          <t>Sources</t>
        </is>
      </c>
    </row>
    <row r="3">
      <c r="A3" s="5" t="inlineStr">
        <is>
          <t>#</t>
        </is>
      </c>
      <c r="B3" s="5" t="inlineStr">
        <is>
          <t>Source</t>
        </is>
      </c>
      <c r="C3" s="5" t="inlineStr">
        <is>
          <t>URL</t>
        </is>
      </c>
    </row>
    <row r="4">
      <c r="A4" s="9" t="n">
        <v>1</v>
      </c>
      <c r="B4" s="9" t="inlineStr">
        <is>
          <t>SK Hynix Nasdaq debut pricing — Bloomberg</t>
        </is>
      </c>
      <c r="C4" s="19" t="inlineStr">
        <is>
          <t>https://www.bloomberg.com/news/articles/2026-07-09/sk-hynix-is-said-to-price-us-share-offering-at-149-apiece-mrdz562z</t>
        </is>
      </c>
    </row>
    <row r="5">
      <c r="A5" s="9" t="n">
        <v>2</v>
      </c>
      <c r="B5" s="9" t="inlineStr">
        <is>
          <t>SK Hynix Nasdaq debut sets record — Yahoo Finance</t>
        </is>
      </c>
      <c r="C5" s="19" t="inlineStr">
        <is>
          <t>https://finance.yahoo.com/markets/stocks/articles/sk-hynix-nasdaq-debut-26-113118390.html</t>
        </is>
      </c>
    </row>
    <row r="6">
      <c r="A6" s="9" t="n">
        <v>3</v>
      </c>
      <c r="B6" s="9" t="inlineStr">
        <is>
          <t>Capital exodus hits KOSPI after ADR debut — Korea JoongAng Daily</t>
        </is>
      </c>
      <c r="C6" s="19" t="inlineStr">
        <is>
          <t>https://www.koreajoongangdaily.com/business/capital-exodus-hits-kospi-after-sk-hynixs-blockbuster-nasdaq-debut/12769678</t>
        </is>
      </c>
    </row>
    <row r="7">
      <c r="A7" s="9" t="n">
        <v>4</v>
      </c>
      <c r="B7" s="9" t="inlineStr">
        <is>
          <t>Korean traders' leveraged bets unravel — CNBC</t>
        </is>
      </c>
      <c r="C7" s="19" t="inlineStr">
        <is>
          <t>https://www.cnbc.com/2026/07/20/give-me-my-money-back-south-korean-traders-leveraged-bets-unravel.html</t>
        </is>
      </c>
    </row>
    <row r="8">
      <c r="A8" s="9" t="n">
        <v>5</v>
      </c>
      <c r="B8" s="9" t="inlineStr">
        <is>
          <t>Minister apologizes, leveraged ETF losses — CNBC</t>
        </is>
      </c>
      <c r="C8" s="19" t="inlineStr">
        <is>
          <t>https://www.cnbc.com/2026/07/29/korea-leveraged-etf-kodex-sk-hynix.html</t>
        </is>
      </c>
    </row>
    <row r="9">
      <c r="A9" s="9" t="n">
        <v>6</v>
      </c>
      <c r="B9" s="9" t="inlineStr">
        <is>
          <t>1.2 million accounts hit margin calls — BigGo Finance</t>
        </is>
      </c>
      <c r="C9" s="19" t="inlineStr">
        <is>
          <t>https://finance.biggo.com/news/1046f613-8e0d-4326-bd38-2d90a094e2cb</t>
        </is>
      </c>
    </row>
    <row r="10">
      <c r="A10" s="9" t="n">
        <v>7</v>
      </c>
      <c r="B10" s="9" t="inlineStr">
        <is>
          <t>KOSPI plummets 23% in July, record circuit breakers — KuCoin</t>
        </is>
      </c>
      <c r="C10" s="19" t="inlineStr">
        <is>
          <t>https://www.kucoin.com/news/flash/south-korea-s-kospi-index-plummets-23-in-july-2026-triggering-record-circuit-breakers</t>
        </is>
      </c>
    </row>
    <row r="11">
      <c r="A11" s="9" t="n">
        <v>8</v>
      </c>
      <c r="B11" s="9" t="inlineStr">
        <is>
          <t>KOSPI crash worse than 1997 and 2008 — Yahoo Finance</t>
        </is>
      </c>
      <c r="C11" s="19" t="inlineStr">
        <is>
          <t>https://finance.yahoo.com/markets/stocks/articles/south-korea-stock-market-crash-092957385.html</t>
        </is>
      </c>
    </row>
    <row r="12">
      <c r="A12" s="9" t="n">
        <v>9</v>
      </c>
      <c r="B12" s="9" t="inlineStr">
        <is>
          <t>China begins mass-producing homegrown DUV tools — Tom's Hardware</t>
        </is>
      </c>
      <c r="C12" s="19" t="inlineStr">
        <is>
          <t>https://www.tomshardware.com/tech-industry/semiconductors/china-begins-mass-production-of-domestic-immersion-duv-lithography-machines</t>
        </is>
      </c>
    </row>
    <row r="13">
      <c r="A13" s="9" t="n">
        <v>10</v>
      </c>
      <c r="B13" s="9" t="inlineStr">
        <is>
          <t>China's chip breakthrough — the caveats — CNBC</t>
        </is>
      </c>
      <c r="C13" s="19" t="inlineStr">
        <is>
          <t>https://www.cnbc.com/2026/07/28/china-chipmaking-duv-tool-asml-explained.html</t>
        </is>
      </c>
    </row>
    <row r="14">
      <c r="A14" s="9" t="n">
        <v>11</v>
      </c>
      <c r="B14" s="9" t="inlineStr">
        <is>
          <t>SK hynix 2Q26 official results — SK hynix Newsroom</t>
        </is>
      </c>
      <c r="C14" s="19" t="inlineStr">
        <is>
          <t>https://news.skhynix.com/en/q2-2026-business-results/</t>
        </is>
      </c>
    </row>
    <row r="15">
      <c r="A15" s="9" t="n">
        <v>12</v>
      </c>
      <c r="B15" s="9" t="inlineStr">
        <is>
          <t>SK Hynix Q2 revenue +257% YoY — BigGo Finance</t>
        </is>
      </c>
      <c r="C15" s="19" t="inlineStr">
        <is>
          <t>https://finance.biggo.com/news/KR_000660.KS_2026-07-28</t>
        </is>
      </c>
    </row>
    <row r="16">
      <c r="A16" s="9" t="n">
        <v>13</v>
      </c>
      <c r="B16" s="9" t="inlineStr">
        <is>
          <t>Chip stocks shed $1tn in selloff — CNBC</t>
        </is>
      </c>
      <c r="C16" s="19" t="inlineStr">
        <is>
          <t>https://www.cnbc.com/2026/07/29/chip-selloff-sk-hynix-samsung-softbank.html</t>
        </is>
      </c>
    </row>
    <row r="17">
      <c r="A17" s="9" t="n">
        <v>14</v>
      </c>
      <c r="B17" s="9" t="inlineStr">
        <is>
          <t>Asian tech stocks drop, SK Hynix -10% — CNBC</t>
        </is>
      </c>
      <c r="C17" s="19" t="inlineStr">
        <is>
          <t>https://www.cnbc.com/2026/08/06/asia-tech-selloff-wall-street-samsung-sk-hynix.html</t>
        </is>
      </c>
    </row>
    <row r="18">
      <c r="A18" s="9" t="n">
        <v>15</v>
      </c>
      <c r="B18" s="9" t="inlineStr">
        <is>
          <t>Emergency meeting as W864tn leaves market — Yahoo Finance</t>
        </is>
      </c>
      <c r="C18" s="19" t="inlineStr">
        <is>
          <t>https://finance.yahoo.com/markets/world-indices/articles/south-korea-holds-emergency-meeting-103240901.html</t>
        </is>
      </c>
    </row>
    <row r="19">
      <c r="A19" s="9" t="n">
        <v>16</v>
      </c>
      <c r="B19" s="9" t="inlineStr">
        <is>
          <t>Kospi rout puts Lee government on alert — Bloomingbit</t>
        </is>
      </c>
      <c r="C19" s="19" t="inlineStr">
        <is>
          <t>https://en.bloomingbit.io/feed/news/117526</t>
        </is>
      </c>
    </row>
    <row r="20">
      <c r="A20" s="9" t="n">
        <v>17</v>
      </c>
      <c r="B20" s="9" t="inlineStr">
        <is>
          <t>NPS: an amplifier, not a stabilizer — Korea JoongAng Daily</t>
        </is>
      </c>
      <c r="C20" s="19" t="inlineStr">
        <is>
          <t>https://www.koreajoongangdaily.com/opinion/nps-becomes-an-amplifier-not-a-stabilizer/12782277</t>
        </is>
      </c>
    </row>
    <row r="21">
      <c r="A21" s="9" t="n">
        <v>18</v>
      </c>
      <c r="B21" s="9" t="inlineStr">
        <is>
          <t>KOSPI falls to 6,200 level, 6 August — Seoul Economic Daily</t>
        </is>
      </c>
      <c r="C21" s="19" t="inlineStr">
        <is>
          <t>https://en.sedaily.com/finance/2026/08/06/kospi-falls-to-6200-level-as-chip-giants-plunge-kosdaq</t>
        </is>
      </c>
    </row>
    <row r="22">
      <c r="A22" s="9" t="n">
        <v>19</v>
      </c>
      <c r="B22" s="9" t="inlineStr">
        <is>
          <t>Hyperscalers plan $725bn 2026 AI capex — AI Weekly</t>
        </is>
      </c>
      <c r="C22" s="19" t="inlineStr">
        <is>
          <t>https://aiweekly.co/alerts/amazon-microsoft-alphabet-meta-plan-725b-ai-capex-in-2026</t>
        </is>
      </c>
    </row>
    <row r="23">
      <c r="A23" s="9" t="n">
        <v>20</v>
      </c>
      <c r="B23" s="9" t="inlineStr">
        <is>
          <t>Michael Burry warns of 1987-type fall — CNBC</t>
        </is>
      </c>
      <c r="C23" s="19" t="inlineStr">
        <is>
          <t>https://www.cnbc.com/2026/08/04/michael-burry-bets-against-rally-we-are-near-a-major-top.html</t>
        </is>
      </c>
    </row>
    <row r="24">
      <c r="A24" s="9" t="n">
        <v>21</v>
      </c>
      <c r="B24" s="9" t="inlineStr">
        <is>
          <t>J.P. Morgan: AI investment cycle not derailed — CNBC</t>
        </is>
      </c>
      <c r="C24" s="19" t="inlineStr">
        <is>
          <t>https://www.cnbc.com/2026/08/06/asia-tech-sell-off-has-not-derailed-ai-investment-cycle-jp-morgan-says.html</t>
        </is>
      </c>
    </row>
    <row r="25">
      <c r="A25" s="9" t="n">
        <v>22</v>
      </c>
      <c r="B25" s="9" t="inlineStr">
        <is>
          <t>SKHY / MU daily price data — Twelve Data API</t>
        </is>
      </c>
      <c r="C25" s="19" t="inlineStr">
        <is>
          <t>https://twelvedata.com (live-fetched 2026-08-07, see Price Data sheet)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2026-08-06T18:50:55Z</dcterms:created>
  <dcterms:modified xmlns:dcterms="http://purl.org/dc/terms/" xmlns:xsi="http://www.w3.org/2001/XMLSchema-instance" xsi:type="dcterms:W3CDTF">2026-08-06T18:50:55Z</dcterms:modified>
</cp:coreProperties>
</file>