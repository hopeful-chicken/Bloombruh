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meline" sheetId="1" state="visible" r:id="rId1"/>
    <sheet name="Price Data" sheetId="2" state="visible" r:id="rId2"/>
    <sheet name="Leverage Data" sheetId="3" state="visible" r:id="rId3"/>
    <sheet name="Bull vs Be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color rgb="00FFFFFF"/>
      <sz val="10"/>
    </font>
    <font>
      <name val="Arial"/>
      <color rgb="001F4E78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i val="1"/>
      <color rgb="00595959"/>
      <sz val="9"/>
    </font>
    <font>
      <name val="Arial"/>
      <color rgb="00404040"/>
      <sz val="9"/>
    </font>
    <font>
      <name val="Arial"/>
      <color rgb="001B5E20"/>
      <sz val="10"/>
    </font>
    <font>
      <name val="Arial"/>
      <color rgb="00B71C1C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164" fontId="4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SKHY (SK Hynix ADR) vs. MU (Micron), indexed to 100 on 2026-07-14</a:t>
            </a:r>
          </a:p>
        </rich>
      </tx>
    </title>
    <plotArea>
      <lineChart>
        <grouping val="standard"/>
        <ser>
          <idx val="0"/>
          <order val="0"/>
          <tx>
            <strRef>
              <f>'Price Data'!C3</f>
            </strRef>
          </tx>
          <spPr>
            <a:ln>
              <a:solidFill>
                <a:srgbClr val="BC5B33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'Price Data'!$A$4:$A$23</f>
            </numRef>
          </cat>
          <val>
            <numRef>
              <f>'Price Data'!$C$4:$C$23</f>
            </numRef>
          </val>
          <smooth val="0"/>
        </ser>
        <ser>
          <idx val="1"/>
          <order val="1"/>
          <tx>
            <strRef>
              <f>'Price Data'!F3</f>
            </strRef>
          </tx>
          <spPr>
            <a:ln>
              <a:solidFill>
                <a:srgbClr val="2F6F9F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'Price Data'!$A$4:$A$23</f>
            </numRef>
          </cat>
          <val>
            <numRef>
              <f>'Price Data'!$F$4:$F$23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Indexed (7/14 =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5" customWidth="1" min="2" max="2"/>
    <col width="14" customWidth="1" min="3" max="3"/>
  </cols>
  <sheetData>
    <row r="1">
      <c r="A1" s="1" t="inlineStr">
        <is>
          <t>Timeline — how the crash actually unfolded</t>
        </is>
      </c>
    </row>
    <row r="3">
      <c r="A3" s="2" t="inlineStr">
        <is>
          <t>Date</t>
        </is>
      </c>
      <c r="B3" s="2" t="inlineStr">
        <is>
          <t>Event</t>
        </is>
      </c>
      <c r="C3" s="2" t="inlineStr">
        <is>
          <t>Category</t>
        </is>
      </c>
    </row>
    <row r="4">
      <c r="A4" s="3" t="inlineStr">
        <is>
          <t>2026-04-28</t>
        </is>
      </c>
      <c r="B4" s="4" t="inlineStr">
        <is>
          <t>Korea amends ETF rules, raising single-stock concentration limit from 30% to 100% (previously required 10+ stocks)</t>
        </is>
      </c>
      <c r="C4" s="4" t="inlineStr">
        <is>
          <t>Policy</t>
        </is>
      </c>
    </row>
    <row r="5">
      <c r="A5" s="3" t="inlineStr">
        <is>
          <t>2026-05-27</t>
        </is>
      </c>
      <c r="B5" s="4" t="inlineStr">
        <is>
          <t>Single-stock leveraged ETFs (2x daily) tied to Samsung and SK Hynix begin trading in Korea</t>
        </is>
      </c>
      <c r="C5" s="4" t="inlineStr">
        <is>
          <t>Leverage</t>
        </is>
      </c>
    </row>
    <row r="6">
      <c r="A6" s="3" t="inlineStr">
        <is>
          <t>2026-06-19</t>
        </is>
      </c>
      <c r="B6" s="4" t="inlineStr">
        <is>
          <t>KOSPI closes at an all-time high of 9,385.59</t>
        </is>
      </c>
      <c r="C6" s="4" t="inlineStr">
        <is>
          <t>Index</t>
        </is>
      </c>
    </row>
    <row r="7">
      <c r="A7" s="3" t="inlineStr">
        <is>
          <t>2026-07-10</t>
        </is>
      </c>
      <c r="B7" s="4" t="inlineStr">
        <is>
          <t>SK Hynix completes $26.5bn Nasdaq ADR listing — largest US listing ever by a foreign company</t>
        </is>
      </c>
      <c r="C7" s="4" t="inlineStr">
        <is>
          <t>Listing</t>
        </is>
      </c>
    </row>
    <row r="8">
      <c r="A8" s="3" t="inlineStr">
        <is>
          <t>2026-07-13</t>
        </is>
      </c>
      <c r="B8" s="4" t="inlineStr">
        <is>
          <t>KOSPI down ~27% from its 19 June peak; outstanding leveraged bets peak near W29.2tn (~$19.7bn); 1.2m accounts hit margin calls</t>
        </is>
      </c>
      <c r="C8" s="4" t="inlineStr">
        <is>
          <t>Leverage</t>
        </is>
      </c>
    </row>
    <row r="9">
      <c r="A9" s="3" t="inlineStr">
        <is>
          <t>2026-07-14</t>
        </is>
      </c>
      <c r="B9" s="4" t="inlineStr">
        <is>
          <t>Seoul-listed SK Hynix common shares fall 15.37%; the new Nasdaq ADR rises 27% the SAME day</t>
        </is>
      </c>
      <c r="C9" s="4" t="inlineStr">
        <is>
          <t>Divergence</t>
        </is>
      </c>
    </row>
    <row r="10">
      <c r="A10" s="3" t="inlineStr">
        <is>
          <t>2026-07-20</t>
        </is>
      </c>
      <c r="B10" s="4" t="inlineStr">
        <is>
          <t>Bank of Korea raises rates into an already-fragile market</t>
        </is>
      </c>
      <c r="C10" s="4" t="inlineStr">
        <is>
          <t>Macro</t>
        </is>
      </c>
    </row>
    <row r="11">
      <c r="A11" s="3" t="inlineStr">
        <is>
          <t>2026-07-27</t>
        </is>
      </c>
      <c r="B11" s="4" t="inlineStr">
        <is>
          <t>China's Shanghai Aishengna reports mass production of homegrown immersion DUV lithography tools</t>
        </is>
      </c>
      <c r="C11" s="4" t="inlineStr">
        <is>
          <t>Competitive</t>
        </is>
      </c>
    </row>
    <row r="12">
      <c r="A12" s="3" t="inlineStr">
        <is>
          <t>2026-07-28</t>
        </is>
      </c>
      <c r="B12" s="4" t="inlineStr">
        <is>
          <t>SK Hynix reports Q2: revenue W79.32tn (+257% YoY), 76% operating margin — record quarter, missed ~W84tn consensus</t>
        </is>
      </c>
      <c r="C12" s="4" t="inlineStr">
        <is>
          <t>Earnings</t>
        </is>
      </c>
    </row>
    <row r="13">
      <c r="A13" s="3" t="inlineStr">
        <is>
          <t>2026-07-29</t>
        </is>
      </c>
      <c r="B13" s="4" t="inlineStr">
        <is>
          <t>Trough. SKHY ADR bottoms at $126.79. Government holds emergency market meeting after a 2-day W864.5tn wipeout</t>
        </is>
      </c>
      <c r="C13" s="4" t="inlineStr">
        <is>
          <t>Trough</t>
        </is>
      </c>
    </row>
    <row r="14">
      <c r="A14" s="3" t="inlineStr">
        <is>
          <t>2026-07-29</t>
        </is>
      </c>
      <c r="B14" s="4" t="inlineStr">
        <is>
          <t>FSC suspends new single-stock leveraged ETF listings, bans marketing, triples min. deposit to W30m</t>
        </is>
      </c>
      <c r="C14" s="4" t="inlineStr">
        <is>
          <t>Policy</t>
        </is>
      </c>
    </row>
    <row r="15">
      <c r="A15" s="3" t="inlineStr">
        <is>
          <t>2026-07-31</t>
        </is>
      </c>
      <c r="B15" s="4" t="inlineStr">
        <is>
          <t>KOSPI +17.91% - largest single-day % and point gain in its history (prior record: 11.95%, Oct 2008). Samsung +28%, SK Hynix +30%</t>
        </is>
      </c>
      <c r="C15" s="4" t="inlineStr">
        <is>
          <t>Record surge</t>
        </is>
      </c>
    </row>
    <row r="16">
      <c r="A16" s="3" t="inlineStr">
        <is>
          <t>2026-08-05</t>
        </is>
      </c>
      <c r="B16" s="4" t="inlineStr">
        <is>
          <t>KOSPI +3.76% to 6,598 on US-Iran deal hopes</t>
        </is>
      </c>
      <c r="C16" s="4" t="inlineStr">
        <is>
          <t>Rebound</t>
        </is>
      </c>
    </row>
    <row r="17">
      <c r="A17" s="3" t="inlineStr">
        <is>
          <t>2026-08-06</t>
        </is>
      </c>
      <c r="B17" s="4" t="inlineStr">
        <is>
          <t>KOSPI -4.58% to 6,296.38 - SanDisk/Western Digital beat estimates but missed on guidance, dragging SK Hynix (-9%) and Samsung (-6.3%) down in sympathy</t>
        </is>
      </c>
      <c r="C17" s="4" t="inlineStr">
        <is>
          <t>Fresh selloff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0" customWidth="1" min="3" max="3"/>
    <col width="15" customWidth="1" min="4" max="4"/>
    <col width="13" customWidth="1" min="5" max="5"/>
    <col width="18" customWidth="1" min="6" max="6"/>
    <col width="14" customWidth="1" min="7" max="7"/>
  </cols>
  <sheetData>
    <row r="1">
      <c r="A1" s="1" t="inlineStr">
        <is>
          <t>Real daily closes — SKHY (SK Hynix ADR) vs. MU (Micron), fetched live via Twelve Data, 2026-08-07</t>
        </is>
      </c>
    </row>
    <row r="3">
      <c r="A3" s="2" t="inlineStr">
        <is>
          <t>Date</t>
        </is>
      </c>
      <c r="B3" s="2" t="inlineStr">
        <is>
          <t>SKHY Close ($)</t>
        </is>
      </c>
      <c r="C3" s="2" t="inlineStr">
        <is>
          <t>SKHY Indexed (7/14=100)</t>
        </is>
      </c>
      <c r="D3" s="2" t="inlineStr">
        <is>
          <t>SKHY Daily % Chg</t>
        </is>
      </c>
      <c r="E3" s="2" t="inlineStr">
        <is>
          <t>MU Close ($)</t>
        </is>
      </c>
      <c r="F3" s="2" t="inlineStr">
        <is>
          <t>MU Indexed (7/14=100)</t>
        </is>
      </c>
      <c r="G3" s="2" t="inlineStr">
        <is>
          <t>MU Daily % Chg</t>
        </is>
      </c>
    </row>
    <row r="4">
      <c r="A4" s="5" t="inlineStr">
        <is>
          <t>2026-07-10</t>
        </is>
      </c>
      <c r="B4" s="5" t="n">
        <v>168.01</v>
      </c>
      <c r="C4" s="6">
        <f>B4/$B$6*100</f>
        <v/>
      </c>
      <c r="D4" s="7" t="n"/>
      <c r="E4" s="5" t="n">
        <v>979.3</v>
      </c>
      <c r="F4" s="6">
        <f>E4/$E$6*100</f>
        <v/>
      </c>
      <c r="G4" s="7" t="n"/>
    </row>
    <row r="5">
      <c r="A5" s="5" t="inlineStr">
        <is>
          <t>2026-07-13</t>
        </is>
      </c>
      <c r="B5" s="5" t="n">
        <v>152.35</v>
      </c>
      <c r="C5" s="6">
        <f>B5/$B$6*100</f>
        <v/>
      </c>
      <c r="D5" s="8">
        <f>B5/B4-1</f>
        <v/>
      </c>
      <c r="E5" s="5" t="n">
        <v>937</v>
      </c>
      <c r="F5" s="6">
        <f>E5/$E$6*100</f>
        <v/>
      </c>
      <c r="G5" s="8">
        <f>E5/E4-1</f>
        <v/>
      </c>
    </row>
    <row r="6">
      <c r="A6" s="5" t="inlineStr">
        <is>
          <t>2026-07-14</t>
        </is>
      </c>
      <c r="B6" s="5" t="n">
        <v>193.92</v>
      </c>
      <c r="C6" s="6">
        <f>B6/$B$6*100</f>
        <v/>
      </c>
      <c r="D6" s="8">
        <f>B6/B5-1</f>
        <v/>
      </c>
      <c r="E6" s="5" t="n">
        <v>983.12</v>
      </c>
      <c r="F6" s="6">
        <f>E6/$E$6*100</f>
        <v/>
      </c>
      <c r="G6" s="8">
        <f>E6/E5-1</f>
        <v/>
      </c>
    </row>
    <row r="7">
      <c r="A7" s="5" t="inlineStr">
        <is>
          <t>2026-07-15</t>
        </is>
      </c>
      <c r="B7" s="5" t="n">
        <v>176.46</v>
      </c>
      <c r="C7" s="6">
        <f>B7/$B$6*100</f>
        <v/>
      </c>
      <c r="D7" s="8">
        <f>B7/B6-1</f>
        <v/>
      </c>
      <c r="E7" s="5" t="n">
        <v>904.28</v>
      </c>
      <c r="F7" s="6">
        <f>E7/$E$6*100</f>
        <v/>
      </c>
      <c r="G7" s="8">
        <f>E7/E6-1</f>
        <v/>
      </c>
    </row>
    <row r="8">
      <c r="A8" s="5" t="inlineStr">
        <is>
          <t>2026-07-16</t>
        </is>
      </c>
      <c r="B8" s="5" t="n">
        <v>152.31</v>
      </c>
      <c r="C8" s="6">
        <f>B8/$B$6*100</f>
        <v/>
      </c>
      <c r="D8" s="8">
        <f>B8/B7-1</f>
        <v/>
      </c>
      <c r="E8" s="5" t="n">
        <v>853.2</v>
      </c>
      <c r="F8" s="6">
        <f>E8/$E$6*100</f>
        <v/>
      </c>
      <c r="G8" s="8">
        <f>E8/E7-1</f>
        <v/>
      </c>
    </row>
    <row r="9">
      <c r="A9" s="5" t="inlineStr">
        <is>
          <t>2026-07-17</t>
        </is>
      </c>
      <c r="B9" s="5" t="n">
        <v>154.03</v>
      </c>
      <c r="C9" s="6">
        <f>B9/$B$6*100</f>
        <v/>
      </c>
      <c r="D9" s="8">
        <f>B9/B8-1</f>
        <v/>
      </c>
      <c r="E9" s="5" t="n">
        <v>848.95</v>
      </c>
      <c r="F9" s="6">
        <f>E9/$E$6*100</f>
        <v/>
      </c>
      <c r="G9" s="8">
        <f>E9/E8-1</f>
        <v/>
      </c>
    </row>
    <row r="10">
      <c r="A10" s="5" t="inlineStr">
        <is>
          <t>2026-07-20</t>
        </is>
      </c>
      <c r="B10" s="5" t="n">
        <v>151.16</v>
      </c>
      <c r="C10" s="6">
        <f>B10/$B$6*100</f>
        <v/>
      </c>
      <c r="D10" s="8">
        <f>B10/B9-1</f>
        <v/>
      </c>
      <c r="E10" s="5" t="n">
        <v>865.46</v>
      </c>
      <c r="F10" s="6">
        <f>E10/$E$6*100</f>
        <v/>
      </c>
      <c r="G10" s="8">
        <f>E10/E9-1</f>
        <v/>
      </c>
    </row>
    <row r="11">
      <c r="A11" s="5" t="inlineStr">
        <is>
          <t>2026-07-21</t>
        </is>
      </c>
      <c r="B11" s="5" t="n">
        <v>171.94</v>
      </c>
      <c r="C11" s="6">
        <f>B11/$B$6*100</f>
        <v/>
      </c>
      <c r="D11" s="8">
        <f>B11/B10-1</f>
        <v/>
      </c>
      <c r="E11" s="5" t="n">
        <v>970.8200000000001</v>
      </c>
      <c r="F11" s="6">
        <f>E11/$E$6*100</f>
        <v/>
      </c>
      <c r="G11" s="8">
        <f>E11/E10-1</f>
        <v/>
      </c>
    </row>
    <row r="12">
      <c r="A12" s="5" t="inlineStr">
        <is>
          <t>2026-07-22</t>
        </is>
      </c>
      <c r="B12" s="5" t="n">
        <v>165.27</v>
      </c>
      <c r="C12" s="6">
        <f>B12/$B$6*100</f>
        <v/>
      </c>
      <c r="D12" s="8">
        <f>B12/B11-1</f>
        <v/>
      </c>
      <c r="E12" s="5" t="n">
        <v>959.48</v>
      </c>
      <c r="F12" s="6">
        <f>E12/$E$6*100</f>
        <v/>
      </c>
      <c r="G12" s="8">
        <f>E12/E11-1</f>
        <v/>
      </c>
    </row>
    <row r="13">
      <c r="A13" s="5" t="inlineStr">
        <is>
          <t>2026-07-23</t>
        </is>
      </c>
      <c r="B13" s="5" t="n">
        <v>169.5</v>
      </c>
      <c r="C13" s="6">
        <f>B13/$B$6*100</f>
        <v/>
      </c>
      <c r="D13" s="8">
        <f>B13/B12-1</f>
        <v/>
      </c>
      <c r="E13" s="5" t="n">
        <v>990.21</v>
      </c>
      <c r="F13" s="6">
        <f>E13/$E$6*100</f>
        <v/>
      </c>
      <c r="G13" s="8">
        <f>E13/E12-1</f>
        <v/>
      </c>
    </row>
    <row r="14">
      <c r="A14" s="5" t="inlineStr">
        <is>
          <t>2026-07-24</t>
        </is>
      </c>
      <c r="B14" s="5" t="n">
        <v>154.57</v>
      </c>
      <c r="C14" s="6">
        <f>B14/$B$6*100</f>
        <v/>
      </c>
      <c r="D14" s="8">
        <f>B14/B13-1</f>
        <v/>
      </c>
      <c r="E14" s="5" t="n">
        <v>920.95</v>
      </c>
      <c r="F14" s="6">
        <f>E14/$E$6*100</f>
        <v/>
      </c>
      <c r="G14" s="8">
        <f>E14/E13-1</f>
        <v/>
      </c>
    </row>
    <row r="15">
      <c r="A15" s="5" t="inlineStr">
        <is>
          <t>2026-07-27</t>
        </is>
      </c>
      <c r="B15" s="5" t="n">
        <v>143.02</v>
      </c>
      <c r="C15" s="6">
        <f>B15/$B$6*100</f>
        <v/>
      </c>
      <c r="D15" s="8">
        <f>B15/B14-1</f>
        <v/>
      </c>
      <c r="E15" s="5" t="n">
        <v>900.2</v>
      </c>
      <c r="F15" s="6">
        <f>E15/$E$6*100</f>
        <v/>
      </c>
      <c r="G15" s="8">
        <f>E15/E14-1</f>
        <v/>
      </c>
    </row>
    <row r="16">
      <c r="A16" s="5" t="inlineStr">
        <is>
          <t>2026-07-28</t>
        </is>
      </c>
      <c r="B16" s="5" t="n">
        <v>130.17</v>
      </c>
      <c r="C16" s="6">
        <f>B16/$B$6*100</f>
        <v/>
      </c>
      <c r="D16" s="8">
        <f>B16/B15-1</f>
        <v/>
      </c>
      <c r="E16" s="5" t="n">
        <v>820.53</v>
      </c>
      <c r="F16" s="6">
        <f>E16/$E$6*100</f>
        <v/>
      </c>
      <c r="G16" s="8">
        <f>E16/E15-1</f>
        <v/>
      </c>
    </row>
    <row r="17">
      <c r="A17" s="5" t="inlineStr">
        <is>
          <t>2026-07-29</t>
        </is>
      </c>
      <c r="B17" s="5" t="n">
        <v>126.79</v>
      </c>
      <c r="C17" s="6">
        <f>B17/$B$6*100</f>
        <v/>
      </c>
      <c r="D17" s="8">
        <f>B17/B16-1</f>
        <v/>
      </c>
      <c r="E17" s="5" t="n">
        <v>739</v>
      </c>
      <c r="F17" s="6">
        <f>E17/$E$6*100</f>
        <v/>
      </c>
      <c r="G17" s="8">
        <f>E17/E16-1</f>
        <v/>
      </c>
    </row>
    <row r="18">
      <c r="A18" s="5" t="inlineStr">
        <is>
          <t>2026-07-30</t>
        </is>
      </c>
      <c r="B18" s="5" t="n">
        <v>149</v>
      </c>
      <c r="C18" s="6">
        <f>B18/$B$6*100</f>
        <v/>
      </c>
      <c r="D18" s="8">
        <f>B18/B17-1</f>
        <v/>
      </c>
      <c r="E18" s="5" t="n">
        <v>874.66</v>
      </c>
      <c r="F18" s="6">
        <f>E18/$E$6*100</f>
        <v/>
      </c>
      <c r="G18" s="8">
        <f>E18/E17-1</f>
        <v/>
      </c>
    </row>
    <row r="19">
      <c r="A19" s="5" t="inlineStr">
        <is>
          <t>2026-07-31</t>
        </is>
      </c>
      <c r="B19" s="5" t="n">
        <v>143.73</v>
      </c>
      <c r="C19" s="6">
        <f>B19/$B$6*100</f>
        <v/>
      </c>
      <c r="D19" s="8">
        <f>B19/B18-1</f>
        <v/>
      </c>
      <c r="E19" s="5" t="n">
        <v>823.03</v>
      </c>
      <c r="F19" s="6">
        <f>E19/$E$6*100</f>
        <v/>
      </c>
      <c r="G19" s="8">
        <f>E19/E18-1</f>
        <v/>
      </c>
    </row>
    <row r="20">
      <c r="A20" s="5" t="inlineStr">
        <is>
          <t>2026-08-03</t>
        </is>
      </c>
      <c r="B20" s="5" t="n">
        <v>142.72</v>
      </c>
      <c r="C20" s="6">
        <f>B20/$B$6*100</f>
        <v/>
      </c>
      <c r="D20" s="8">
        <f>B20/B19-1</f>
        <v/>
      </c>
      <c r="E20" s="5" t="n">
        <v>829.5</v>
      </c>
      <c r="F20" s="6">
        <f>E20/$E$6*100</f>
        <v/>
      </c>
      <c r="G20" s="8">
        <f>E20/E19-1</f>
        <v/>
      </c>
    </row>
    <row r="21">
      <c r="A21" s="5" t="inlineStr">
        <is>
          <t>2026-08-04</t>
        </is>
      </c>
      <c r="B21" s="5" t="n">
        <v>154.38</v>
      </c>
      <c r="C21" s="6">
        <f>B21/$B$6*100</f>
        <v/>
      </c>
      <c r="D21" s="8">
        <f>B21/B20-1</f>
        <v/>
      </c>
      <c r="E21" s="5" t="n">
        <v>892.67</v>
      </c>
      <c r="F21" s="6">
        <f>E21/$E$6*100</f>
        <v/>
      </c>
      <c r="G21" s="8">
        <f>E21/E20-1</f>
        <v/>
      </c>
    </row>
    <row r="22">
      <c r="A22" s="5" t="inlineStr">
        <is>
          <t>2026-08-05</t>
        </is>
      </c>
      <c r="B22" s="5" t="n">
        <v>151.03</v>
      </c>
      <c r="C22" s="6">
        <f>B22/$B$6*100</f>
        <v/>
      </c>
      <c r="D22" s="8">
        <f>B22/B21-1</f>
        <v/>
      </c>
      <c r="E22" s="5" t="n">
        <v>893.1900000000001</v>
      </c>
      <c r="F22" s="6">
        <f>E22/$E$6*100</f>
        <v/>
      </c>
      <c r="G22" s="8">
        <f>E22/E21-1</f>
        <v/>
      </c>
    </row>
    <row r="23">
      <c r="A23" s="5" t="inlineStr">
        <is>
          <t>2026-08-06</t>
        </is>
      </c>
      <c r="B23" s="5" t="n">
        <v>145.87</v>
      </c>
      <c r="C23" s="6">
        <f>B23/$B$6*100</f>
        <v/>
      </c>
      <c r="D23" s="8">
        <f>B23/B22-1</f>
        <v/>
      </c>
      <c r="E23" s="5" t="n">
        <v>898.97</v>
      </c>
      <c r="F23" s="6">
        <f>E23/$E$6*100</f>
        <v/>
      </c>
      <c r="G23" s="8">
        <f>E23/E22-1</f>
        <v/>
      </c>
    </row>
    <row r="25">
      <c r="A25" s="9" t="inlineStr">
        <is>
          <t>Why MU, and why this matters for the thesis</t>
        </is>
      </c>
    </row>
    <row r="26" ht="105" customHeight="1">
      <c r="A26" s="10" t="inlineStr">
        <is>
          <t>MU (Micron) is the control group. It's a comparable, US-listed memory-chip maker riding the exact same global AI/memory demand cycle as SK Hynix — but with zero exposure to Korea's leveraged-ETF machinery, margin calls, or forced retail liquidations, because it isn't a Korean stock. If Korea-specific leverage were the main driver of SK Hynix's crash, MU should have barely moved over the same window. It didn't: MU fell 24.8% while SKHY fell 34.6% — nearly as much, on a stock with none of Korea's leverage mechanics attached to it. That's the evidence for the article's central claim: most of SK Hynix's drawdown is the same global correction that hit an unlevered peer almost as hard. Korea's leverage machinery accounts for the incremental ~10 points below (see 'Implied Korea-specific incremental damage') and for nearly all of the margin-call/social fallout — not for the bulk of the price move itself.</t>
        </is>
      </c>
    </row>
    <row r="28">
      <c r="A28" s="9" t="inlineStr">
        <is>
          <t>Peak (7/14) to trough (7/29):</t>
        </is>
      </c>
      <c r="B28" s="9" t="inlineStr">
        <is>
          <t>SKHY drawdown</t>
        </is>
      </c>
      <c r="C28" s="11">
        <f>B17/B6-1</f>
        <v/>
      </c>
    </row>
    <row r="29">
      <c r="B29" s="9" t="inlineStr">
        <is>
          <t>MU drawdown (unlevered US peer, same window)</t>
        </is>
      </c>
      <c r="C29" s="11">
        <f>E17/E6-1</f>
        <v/>
      </c>
    </row>
    <row r="30">
      <c r="B30" s="9" t="inlineStr">
        <is>
          <t>Implied 'Korea-specific' incremental damage</t>
        </is>
      </c>
      <c r="C30" s="11">
        <f>C28-C29</f>
        <v/>
      </c>
    </row>
    <row r="32">
      <c r="A32" s="12" t="inlineStr">
        <is>
          <t>Chart follows the Timeline sheet's dates — see annotations there for what each move corresponds to.</t>
        </is>
      </c>
    </row>
    <row r="52">
      <c r="A52" s="9" t="inlineStr">
        <is>
          <t>Sources for the price data on this sheet</t>
        </is>
      </c>
    </row>
    <row r="53">
      <c r="A53" s="13" t="inlineStr">
        <is>
          <t>- SKHY and MU daily OHLCV — Twelve Data API (twelvedata.com), live-fetched 2026-08-07. Not a live feed: a dated snapshot.</t>
        </is>
      </c>
    </row>
    <row r="54">
      <c r="A54" s="13" t="inlineStr">
        <is>
          <t>- SK Hynix Seoul-listed shares -15.37% on 7/14 — Advisor Perspectives, https://www.advisorperspectives.com/articles/2026/07/13/sk-hynix-shares-plunge-record-deepening-korea-selloff</t>
        </is>
      </c>
    </row>
    <row r="55">
      <c r="A55" s="13" t="inlineStr">
        <is>
          <t>- KOSPI record +17.91% single-day gain, 7/31 — TradingKey, https://www.tradingkey.com/analysis/stocks/us-stocks/262067341-kospi-surged-17-9-percent-largest-single-day-gain-history-july-31-2026-tradingkey</t>
        </is>
      </c>
    </row>
    <row r="56">
      <c r="A56" s="13" t="inlineStr">
        <is>
          <t>- KOSPI all-time high 9,385.59 on 6/19 — IndMoney, https://www.indmoney.com/blog/us-stocks/kospi-index-crash-analysis</t>
        </is>
      </c>
    </row>
    <row r="57">
      <c r="A57" s="13" t="inlineStr">
        <is>
          <t>- SanDisk/Western Digital guidance miss driving the 8/6 selloff — TradingKey, https://www.tradingkey.com/analysis/stocks/us-stocks/262082159-us-stock-sndk-wdc-skhy-mu-ai-tradingkey</t>
        </is>
      </c>
    </row>
    <row r="58">
      <c r="A58" s="13" t="inlineStr">
        <is>
          <t>- Samsung -6.3% close, SK Hynix selloff, 8/6 — Korea JoongAng Daily, https://www.koreajoongangdaily.com/business/kospi-slides-over-4-as-tech-shares-take-a-tumble/12812355</t>
        </is>
      </c>
    </row>
  </sheetData>
  <mergeCells count="1">
    <mergeCell ref="A26:G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5" customWidth="1" min="3" max="3"/>
  </cols>
  <sheetData>
    <row r="1">
      <c r="A1" s="1" t="inlineStr">
        <is>
          <t>The leverage machine underneath the crash</t>
        </is>
      </c>
    </row>
    <row r="3">
      <c r="A3" s="2" t="inlineStr">
        <is>
          <t>Metric</t>
        </is>
      </c>
      <c r="B3" s="2" t="inlineStr">
        <is>
          <t>Figure</t>
        </is>
      </c>
      <c r="C3" s="2" t="inlineStr">
        <is>
          <t>Source / note</t>
        </is>
      </c>
    </row>
    <row r="4">
      <c r="A4" s="4" t="inlineStr">
        <is>
          <t>Single-stock leveraged ETFs launched</t>
        </is>
      </c>
      <c r="B4" s="14" t="inlineStr">
        <is>
          <t>27 May 2026</t>
        </is>
      </c>
      <c r="C4" s="15" t="inlineStr">
        <is>
          <t>2x daily return products tied to Samsung / SK Hynix</t>
        </is>
      </c>
    </row>
    <row r="5">
      <c r="A5" s="4" t="inlineStr">
        <is>
          <t>Net retail purchases of leveraged ETFs</t>
        </is>
      </c>
      <c r="B5" s="14" t="inlineStr">
        <is>
          <t>~W14tn (~$9.4bn)</t>
        </is>
      </c>
      <c r="C5" s="15" t="inlineStr">
        <is>
          <t>vs. ~W2tn from foreign investors</t>
        </is>
      </c>
    </row>
    <row r="6">
      <c r="A6" s="4" t="inlineStr">
        <is>
          <t>Peak outstanding leveraged bets</t>
        </is>
      </c>
      <c r="B6" s="14" t="inlineStr">
        <is>
          <t>W29.2tn (~$19.7bn)</t>
        </is>
      </c>
      <c r="C6" s="15" t="inlineStr">
        <is>
          <t>Early July 2026</t>
        </is>
      </c>
    </row>
    <row r="7">
      <c r="A7" s="4" t="inlineStr">
        <is>
          <t>Retail accounts hitting margin calls</t>
        </is>
      </c>
      <c r="B7" s="14" t="inlineStr">
        <is>
          <t>1,200,000+</t>
        </is>
      </c>
      <c r="C7" s="15" t="inlineStr">
        <is>
          <t>As of 13 July 2026</t>
        </is>
      </c>
    </row>
    <row r="8">
      <c r="A8" s="4" t="inlineStr">
        <is>
          <t>Accounts forcibly liquidated</t>
        </is>
      </c>
      <c r="B8" s="14" t="inlineStr">
        <is>
          <t>320,000 - 360,000</t>
        </is>
      </c>
      <c r="C8" s="15" t="inlineStr">
        <is>
          <t>As of mid-July 2026</t>
        </is>
      </c>
    </row>
    <row r="9">
      <c r="A9" s="4" t="inlineStr">
        <is>
          <t>Total forced liquidation value</t>
        </is>
      </c>
      <c r="B9" s="14" t="inlineStr">
        <is>
          <t>W2.3tn</t>
        </is>
      </c>
      <c r="C9" s="15" t="inlineStr">
        <is>
          <t>Over ~2.5 months</t>
        </is>
      </c>
    </row>
    <row r="10">
      <c r="A10" s="4" t="inlineStr">
        <is>
          <t>New minimum deposit for leveraged investors (post-crisis)</t>
        </is>
      </c>
      <c r="B10" s="14" t="inlineStr">
        <is>
          <t>W30m (~$20,000)</t>
        </is>
      </c>
      <c r="C10" s="15" t="inlineStr">
        <is>
          <t>Tripled by the FSC, late July 2026</t>
        </is>
      </c>
    </row>
    <row r="11">
      <c r="A11" s="4" t="inlineStr">
        <is>
          <t>KOSPI single 2-day value wipeout</t>
        </is>
      </c>
      <c r="B11" s="14" t="inlineStr">
        <is>
          <t>W864.5tn</t>
        </is>
      </c>
      <c r="C11" s="15" t="inlineStr">
        <is>
          <t>Triggered the 29 July emergency government meeting</t>
        </is>
      </c>
    </row>
    <row r="12">
      <c r="A12" s="4" t="inlineStr">
        <is>
          <t>President Lee Jae-myung disapproval rating</t>
        </is>
      </c>
      <c r="B12" s="14" t="inlineStr">
        <is>
          <t>&gt;50%</t>
        </is>
      </c>
      <c r="C12" s="15" t="inlineStr">
        <is>
          <t>First time in his term, per BigGo Finance / Bloombit reporting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60" customWidth="1" min="3" max="3"/>
  </cols>
  <sheetData>
    <row r="1">
      <c r="A1" s="1" t="inlineStr">
        <is>
          <t>The case for and against</t>
        </is>
      </c>
    </row>
    <row r="3">
      <c r="A3" s="2" t="inlineStr">
        <is>
          <t>Theme</t>
        </is>
      </c>
      <c r="B3" s="2" t="inlineStr">
        <is>
          <t>Bull case</t>
        </is>
      </c>
      <c r="C3" s="2" t="inlineStr">
        <is>
          <t>Bear case</t>
        </is>
      </c>
    </row>
    <row r="4" ht="70" customHeight="1">
      <c r="A4" s="16" t="inlineStr">
        <is>
          <t>SK Hynix Q2 result</t>
        </is>
      </c>
      <c r="B4" s="17" t="inlineStr">
        <is>
          <t>Revenue W79.32tn, +257% YoY, 76% operating margin — a genuine record quarter. 'Miss' vs. consensus (~W84tn) was a shipment-timing issue (HBM4 recognition slipping to Q3), not a demand problem.</t>
        </is>
      </c>
      <c r="C4" s="18" t="inlineStr">
        <is>
          <t>Even a record quarter missed elevated Street expectations — a real sign the market had priced in near-perfection, leaving no room for anything less.</t>
        </is>
      </c>
    </row>
    <row r="5" ht="70" customHeight="1">
      <c r="A5" s="16" t="inlineStr">
        <is>
          <t>Underlying AI demand</t>
        </is>
      </c>
      <c r="B5" s="17" t="inlineStr">
        <is>
          <t>Hyperscaler 2026 capex guidance: Amazon $200bn, Alphabet $175-185bn, Meta $115-135bn, Microsoft $190bn — $725bn combined, +77% YoY. Evercore/BofA model &gt;$1tn combined for 2027. S&amp;P Global's July PMI showed the fastest tech-equipment output growth since May 2021.</t>
        </is>
      </c>
      <c r="C5" s="18" t="inlineStr">
        <is>
          <t>Crowding and leverage across the whole AI trade (not just Korea) means positioning, not fundamentals, is doing a lot of the work in the price — a similar unwind could happen anywhere sentiment cracks next.</t>
        </is>
      </c>
    </row>
    <row r="6" ht="70" customHeight="1">
      <c r="A6" s="16" t="inlineStr">
        <is>
          <t>Analyst / investor commentary</t>
        </is>
      </c>
      <c r="B6" s="17" t="inlineStr">
        <is>
          <t>J.P. Morgan (6 Aug note): the sell-off 'had not derailed' the AI investment cycle; 'we do not see any fundamental indicators that signal meaningful weakness in the next 6-12 months.'</t>
        </is>
      </c>
      <c r="C6" s="18" t="inlineStr">
        <is>
          <t>Michael Burry (4 Aug Substack): 'I continue to believe it is possible we are near a major top, and possibly a 1987-type fall.'</t>
        </is>
      </c>
    </row>
    <row r="7" ht="70" customHeight="1">
      <c r="A7" s="16" t="inlineStr">
        <is>
          <t>China competitive threat</t>
        </is>
      </c>
      <c r="B7" s="17" t="inlineStr">
        <is>
          <t>Currently immaterial in scale: ~5 domestic DUV units expected in 2026 vs. ASML's ~130 immersion systems; China's tools reportedly still lag ASML's technology.</t>
        </is>
      </c>
      <c r="C7" s="18" t="inlineStr">
        <is>
          <t>A real, credible first step toward Chinese self-sufficiency in a category it has never mass-produced before — a genuine multi-year strategic risk even if not a 2026-2027 supply/demand issue.</t>
        </is>
      </c>
    </row>
    <row r="8" ht="70" customHeight="1">
      <c r="A8" s="16" t="inlineStr">
        <is>
          <t>2027-2028 capacity</t>
        </is>
      </c>
      <c r="B8" s="17" t="inlineStr">
        <is>
          <t>New capacity gives SK Hynix/Samsung/Micron room to keep growing into real, still-accelerating demand.</t>
        </is>
      </c>
      <c r="C8" s="18" t="inlineStr">
        <is>
          <t>Samsung, SK Hynix, Micron and Kioxia are all adding capacity simultaneously, due to reach volume in late 2027/2028 — right as hyperscaler capex growth may naturally decelerate off this year's exceptional base. The same setup that has ended every prior memory cycle.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2026-08-07T02:13:56Z</dcterms:created>
  <dcterms:modified xsi:type="dcterms:W3CDTF">2026-08-07T02:13:56Z</dcterms:modified>
</cp:coreProperties>
</file>