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imeline" sheetId="1" state="visible" r:id="rId1"/>
    <sheet name="Price Data" sheetId="2" state="visible" r:id="rId2"/>
    <sheet name="Leverage Data" sheetId="3" state="visible" r:id="rId3"/>
    <sheet name="Bull vs Bear"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color rgb="001F4E78"/>
      <sz val="14"/>
    </font>
    <font>
      <name val="Arial"/>
      <b val="1"/>
      <color rgb="00FFFFFF"/>
      <sz val="10"/>
    </font>
    <font>
      <name val="Arial"/>
      <color rgb="001F4E78"/>
      <sz val="10"/>
    </font>
    <font>
      <name val="Arial"/>
      <color rgb="00000000"/>
      <sz val="10"/>
    </font>
    <font>
      <name val="Arial"/>
      <b val="1"/>
      <color rgb="00000000"/>
      <sz val="10"/>
    </font>
    <font>
      <name val="Arial"/>
      <i val="1"/>
      <color rgb="00595959"/>
      <sz val="9"/>
    </font>
    <font>
      <name val="Arial"/>
      <color rgb="00404040"/>
      <sz val="9"/>
    </font>
    <font>
      <name val="Arial"/>
      <color rgb="001B5E20"/>
      <sz val="10"/>
    </font>
    <font>
      <name val="Arial"/>
      <color rgb="00B71C1C"/>
      <sz val="10"/>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xf numFmtId="0" fontId="4" fillId="0" borderId="1" pivotButton="0" quotePrefix="0" xfId="0"/>
    <xf numFmtId="0" fontId="0" fillId="0" borderId="1" pivotButton="0" quotePrefix="0" xfId="0"/>
    <xf numFmtId="164" fontId="4" fillId="0" borderId="1" pivotButton="0" quotePrefix="0" xfId="0"/>
    <xf numFmtId="0" fontId="5" fillId="0" borderId="0" pivotButton="0" quotePrefix="0" xfId="0"/>
    <xf numFmtId="0" fontId="4" fillId="0" borderId="0" applyAlignment="1" pivotButton="0" quotePrefix="0" xfId="0">
      <alignment vertical="top" wrapText="1"/>
    </xf>
    <xf numFmtId="164" fontId="4" fillId="3" borderId="0" pivotButton="0" quotePrefix="0" xfId="0"/>
    <xf numFmtId="0" fontId="6" fillId="0" borderId="0" pivotButton="0" quotePrefix="0" xfId="0"/>
    <xf numFmtId="0" fontId="7" fillId="0" borderId="0" pivotButton="0" quotePrefix="0" xfId="0"/>
    <xf numFmtId="0" fontId="3" fillId="3" borderId="1" applyAlignment="1" pivotButton="0" quotePrefix="0" xfId="0">
      <alignment vertical="top" wrapText="1"/>
    </xf>
    <xf numFmtId="0" fontId="6" fillId="0" borderId="1" applyAlignment="1" pivotButton="0" quotePrefix="0" xfId="0">
      <alignment vertical="top" wrapText="1"/>
    </xf>
    <xf numFmtId="0" fontId="5"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2"/>
  <chart>
    <title>
      <tx>
        <rich>
          <a:bodyPr/>
          <a:p>
            <a:pPr>
              <a:defRPr/>
            </a:pPr>
            <a:r>
              <a:t>SKHY (SK Hynix ADR) vs. MU (Micron), indexed to 100 on 2026-07-10 (SKHY's first trading day)</a:t>
            </a:r>
          </a:p>
        </rich>
      </tx>
    </title>
    <plotArea>
      <lineChart>
        <grouping val="standard"/>
        <ser>
          <idx val="0"/>
          <order val="0"/>
          <tx>
            <strRef>
              <f>'Price Data'!C3</f>
            </strRef>
          </tx>
          <spPr>
            <a:ln>
              <a:solidFill>
                <a:srgbClr val="BC5B33"/>
              </a:solidFill>
              <a:prstDash val="solid"/>
            </a:ln>
          </spPr>
          <marker>
            <symbol val="circle"/>
            <size val="4"/>
            <spPr>
              <a:ln>
                <a:prstDash val="solid"/>
              </a:ln>
            </spPr>
          </marker>
          <cat>
            <numRef>
              <f>'Price Data'!$A$4:$A$23</f>
            </numRef>
          </cat>
          <val>
            <numRef>
              <f>'Price Data'!$C$4:$C$23</f>
            </numRef>
          </val>
          <smooth val="0"/>
        </ser>
        <ser>
          <idx val="1"/>
          <order val="1"/>
          <tx>
            <strRef>
              <f>'Price Data'!F3</f>
            </strRef>
          </tx>
          <spPr>
            <a:ln>
              <a:solidFill>
                <a:srgbClr val="2F6F9F"/>
              </a:solidFill>
              <a:prstDash val="solid"/>
            </a:ln>
          </spPr>
          <marker>
            <symbol val="circle"/>
            <size val="4"/>
            <spPr>
              <a:ln>
                <a:prstDash val="solid"/>
              </a:ln>
            </spPr>
          </marker>
          <cat>
            <numRef>
              <f>'Price Data'!$A$4:$A$23</f>
            </numRef>
          </cat>
          <val>
            <numRef>
              <f>'Price Data'!$F$4:$F$23</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Indexed (7/10 = 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32</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17"/>
  <sheetViews>
    <sheetView workbookViewId="0">
      <pane ySplit="3" topLeftCell="A4" activePane="bottomLeft" state="frozen"/>
      <selection pane="bottomLeft" activeCell="A1" sqref="A1"/>
    </sheetView>
  </sheetViews>
  <sheetFormatPr baseColWidth="8" defaultRowHeight="15"/>
  <cols>
    <col width="12" customWidth="1" min="1" max="1"/>
    <col width="95" customWidth="1" min="2" max="2"/>
    <col width="14" customWidth="1" min="3" max="3"/>
  </cols>
  <sheetData>
    <row r="1">
      <c r="A1" s="1" t="inlineStr">
        <is>
          <t>Timeline — how the crash actually unfolded</t>
        </is>
      </c>
    </row>
    <row r="3">
      <c r="A3" s="2" t="inlineStr">
        <is>
          <t>Date</t>
        </is>
      </c>
      <c r="B3" s="2" t="inlineStr">
        <is>
          <t>Event</t>
        </is>
      </c>
      <c r="C3" s="2" t="inlineStr">
        <is>
          <t>Category</t>
        </is>
      </c>
    </row>
    <row r="4">
      <c r="A4" s="3" t="inlineStr">
        <is>
          <t>2026-04-28</t>
        </is>
      </c>
      <c r="B4" s="4" t="inlineStr">
        <is>
          <t>Korea amends ETF rules, raising single-stock concentration limit from 30% to 100% (previously required 10+ stocks)</t>
        </is>
      </c>
      <c r="C4" s="4" t="inlineStr">
        <is>
          <t>Policy</t>
        </is>
      </c>
    </row>
    <row r="5">
      <c r="A5" s="3" t="inlineStr">
        <is>
          <t>2026-05-27</t>
        </is>
      </c>
      <c r="B5" s="4" t="inlineStr">
        <is>
          <t>Single-stock leveraged ETFs (2x daily) tied to Samsung and SK Hynix begin trading in Korea</t>
        </is>
      </c>
      <c r="C5" s="4" t="inlineStr">
        <is>
          <t>Leverage</t>
        </is>
      </c>
    </row>
    <row r="6">
      <c r="A6" s="3" t="inlineStr">
        <is>
          <t>2026-06-19</t>
        </is>
      </c>
      <c r="B6" s="4" t="inlineStr">
        <is>
          <t>KOSPI closes at an all-time high of 9,385.59</t>
        </is>
      </c>
      <c r="C6" s="4" t="inlineStr">
        <is>
          <t>Index</t>
        </is>
      </c>
    </row>
    <row r="7">
      <c r="A7" s="3" t="inlineStr">
        <is>
          <t>2026-07-10</t>
        </is>
      </c>
      <c r="B7" s="4" t="inlineStr">
        <is>
          <t>SK Hynix completes $26.5bn Nasdaq ADR listing — largest US listing ever by a foreign company</t>
        </is>
      </c>
      <c r="C7" s="4" t="inlineStr">
        <is>
          <t>Listing</t>
        </is>
      </c>
    </row>
    <row r="8">
      <c r="A8" s="3" t="inlineStr">
        <is>
          <t>2026-07-13</t>
        </is>
      </c>
      <c r="B8" s="4" t="inlineStr">
        <is>
          <t>KOSPI down ~27% from its 19 June peak; outstanding leveraged bets peak near W29.2tn (~$19.7bn); 1.2m accounts hit margin calls</t>
        </is>
      </c>
      <c r="C8" s="4" t="inlineStr">
        <is>
          <t>Leverage</t>
        </is>
      </c>
    </row>
    <row r="9">
      <c r="A9" s="3" t="inlineStr">
        <is>
          <t>2026-07-14</t>
        </is>
      </c>
      <c r="B9" s="4" t="inlineStr">
        <is>
          <t>Seoul-listed SK Hynix common shares fall 15.37%; the new Nasdaq ADR rises 27% the SAME day</t>
        </is>
      </c>
      <c r="C9" s="4" t="inlineStr">
        <is>
          <t>Divergence</t>
        </is>
      </c>
    </row>
    <row r="10">
      <c r="A10" s="3" t="inlineStr">
        <is>
          <t>2026-07-20</t>
        </is>
      </c>
      <c r="B10" s="4" t="inlineStr">
        <is>
          <t>Bank of Korea raises rates into an already-fragile market</t>
        </is>
      </c>
      <c r="C10" s="4" t="inlineStr">
        <is>
          <t>Macro</t>
        </is>
      </c>
    </row>
    <row r="11">
      <c r="A11" s="3" t="inlineStr">
        <is>
          <t>2026-07-27</t>
        </is>
      </c>
      <c r="B11" s="4" t="inlineStr">
        <is>
          <t>China's Shanghai Aishengna reports mass production of homegrown immersion DUV lithography tools</t>
        </is>
      </c>
      <c r="C11" s="4" t="inlineStr">
        <is>
          <t>Competitive</t>
        </is>
      </c>
    </row>
    <row r="12">
      <c r="A12" s="3" t="inlineStr">
        <is>
          <t>2026-07-28</t>
        </is>
      </c>
      <c r="B12" s="4" t="inlineStr">
        <is>
          <t>SK Hynix reports Q2: revenue W79.32tn (+257% YoY), 76% operating margin — record quarter, missed ~W84tn consensus</t>
        </is>
      </c>
      <c r="C12" s="4" t="inlineStr">
        <is>
          <t>Earnings</t>
        </is>
      </c>
    </row>
    <row r="13">
      <c r="A13" s="3" t="inlineStr">
        <is>
          <t>2026-07-29</t>
        </is>
      </c>
      <c r="B13" s="4" t="inlineStr">
        <is>
          <t>Trough. SKHY ADR bottoms at $126.79. Government holds emergency market meeting after a 2-day W864.5tn wipeout</t>
        </is>
      </c>
      <c r="C13" s="4" t="inlineStr">
        <is>
          <t>Trough</t>
        </is>
      </c>
    </row>
    <row r="14">
      <c r="A14" s="3" t="inlineStr">
        <is>
          <t>2026-07-29</t>
        </is>
      </c>
      <c r="B14" s="4" t="inlineStr">
        <is>
          <t>FSC suspends new single-stock leveraged ETF listings, bans marketing, triples min. deposit to W30m</t>
        </is>
      </c>
      <c r="C14" s="4" t="inlineStr">
        <is>
          <t>Policy</t>
        </is>
      </c>
    </row>
    <row r="15">
      <c r="A15" s="3" t="inlineStr">
        <is>
          <t>2026-07-31</t>
        </is>
      </c>
      <c r="B15" s="4" t="inlineStr">
        <is>
          <t>KOSPI +17.91% - largest single-day % and point gain in its history (prior record: 11.95%, Oct 2008). Samsung +28%, SK Hynix +30%</t>
        </is>
      </c>
      <c r="C15" s="4" t="inlineStr">
        <is>
          <t>Record surge</t>
        </is>
      </c>
    </row>
    <row r="16">
      <c r="A16" s="3" t="inlineStr">
        <is>
          <t>2026-08-05</t>
        </is>
      </c>
      <c r="B16" s="4" t="inlineStr">
        <is>
          <t>KOSPI +3.76% to 6,598 on US-Iran deal hopes</t>
        </is>
      </c>
      <c r="C16" s="4" t="inlineStr">
        <is>
          <t>Rebound</t>
        </is>
      </c>
    </row>
    <row r="17">
      <c r="A17" s="3" t="inlineStr">
        <is>
          <t>2026-08-06</t>
        </is>
      </c>
      <c r="B17" s="4" t="inlineStr">
        <is>
          <t>KOSPI -4.58% to 6,296.38 - SanDisk/Western Digital beat estimates but missed on guidance, dragging SK Hynix (-9%) and Samsung (-6.3%) down in sympathy</t>
        </is>
      </c>
      <c r="C17" s="4" t="inlineStr">
        <is>
          <t>Fresh selloff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8"/>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20" customWidth="1" min="3" max="3"/>
    <col width="15" customWidth="1" min="4" max="4"/>
    <col width="13" customWidth="1" min="5" max="5"/>
    <col width="18" customWidth="1" min="6" max="6"/>
    <col width="14" customWidth="1" min="7" max="7"/>
  </cols>
  <sheetData>
    <row r="1">
      <c r="A1" s="1" t="inlineStr">
        <is>
          <t>Real daily closes — SKHY (SK Hynix ADR) vs. MU (Micron), fetched live via Twelve Data, 2026-08-07</t>
        </is>
      </c>
    </row>
    <row r="3">
      <c r="A3" s="2" t="inlineStr">
        <is>
          <t>Date</t>
        </is>
      </c>
      <c r="B3" s="2" t="inlineStr">
        <is>
          <t>SKHY Close ($)</t>
        </is>
      </c>
      <c r="C3" s="2" t="inlineStr">
        <is>
          <t>SKHY Indexed (7/10=100)</t>
        </is>
      </c>
      <c r="D3" s="2" t="inlineStr">
        <is>
          <t>SKHY Daily % Chg</t>
        </is>
      </c>
      <c r="E3" s="2" t="inlineStr">
        <is>
          <t>MU Close ($)</t>
        </is>
      </c>
      <c r="F3" s="2" t="inlineStr">
        <is>
          <t>MU Indexed (7/10=100)</t>
        </is>
      </c>
      <c r="G3" s="2" t="inlineStr">
        <is>
          <t>MU Daily % Chg</t>
        </is>
      </c>
    </row>
    <row r="4">
      <c r="A4" s="5" t="inlineStr">
        <is>
          <t>2026-07-10</t>
        </is>
      </c>
      <c r="B4" s="5" t="n">
        <v>168.01</v>
      </c>
      <c r="C4" s="6">
        <f>B4/$B$4*100</f>
        <v/>
      </c>
      <c r="D4" s="7" t="n"/>
      <c r="E4" s="5" t="n">
        <v>979.3</v>
      </c>
      <c r="F4" s="6">
        <f>E4/$E$4*100</f>
        <v/>
      </c>
      <c r="G4" s="7" t="n"/>
    </row>
    <row r="5">
      <c r="A5" s="5" t="inlineStr">
        <is>
          <t>2026-07-13</t>
        </is>
      </c>
      <c r="B5" s="5" t="n">
        <v>152.35</v>
      </c>
      <c r="C5" s="6">
        <f>B5/$B$4*100</f>
        <v/>
      </c>
      <c r="D5" s="8">
        <f>B5/B4-1</f>
        <v/>
      </c>
      <c r="E5" s="5" t="n">
        <v>937</v>
      </c>
      <c r="F5" s="6">
        <f>E5/$E$4*100</f>
        <v/>
      </c>
      <c r="G5" s="8">
        <f>E5/E4-1</f>
        <v/>
      </c>
    </row>
    <row r="6">
      <c r="A6" s="5" t="inlineStr">
        <is>
          <t>2026-07-14</t>
        </is>
      </c>
      <c r="B6" s="5" t="n">
        <v>193.92</v>
      </c>
      <c r="C6" s="6">
        <f>B6/$B$4*100</f>
        <v/>
      </c>
      <c r="D6" s="8">
        <f>B6/B5-1</f>
        <v/>
      </c>
      <c r="E6" s="5" t="n">
        <v>983.12</v>
      </c>
      <c r="F6" s="6">
        <f>E6/$E$4*100</f>
        <v/>
      </c>
      <c r="G6" s="8">
        <f>E6/E5-1</f>
        <v/>
      </c>
    </row>
    <row r="7">
      <c r="A7" s="5" t="inlineStr">
        <is>
          <t>2026-07-15</t>
        </is>
      </c>
      <c r="B7" s="5" t="n">
        <v>176.46</v>
      </c>
      <c r="C7" s="6">
        <f>B7/$B$4*100</f>
        <v/>
      </c>
      <c r="D7" s="8">
        <f>B7/B6-1</f>
        <v/>
      </c>
      <c r="E7" s="5" t="n">
        <v>904.28</v>
      </c>
      <c r="F7" s="6">
        <f>E7/$E$4*100</f>
        <v/>
      </c>
      <c r="G7" s="8">
        <f>E7/E6-1</f>
        <v/>
      </c>
    </row>
    <row r="8">
      <c r="A8" s="5" t="inlineStr">
        <is>
          <t>2026-07-16</t>
        </is>
      </c>
      <c r="B8" s="5" t="n">
        <v>152.31</v>
      </c>
      <c r="C8" s="6">
        <f>B8/$B$4*100</f>
        <v/>
      </c>
      <c r="D8" s="8">
        <f>B8/B7-1</f>
        <v/>
      </c>
      <c r="E8" s="5" t="n">
        <v>853.2</v>
      </c>
      <c r="F8" s="6">
        <f>E8/$E$4*100</f>
        <v/>
      </c>
      <c r="G8" s="8">
        <f>E8/E7-1</f>
        <v/>
      </c>
    </row>
    <row r="9">
      <c r="A9" s="5" t="inlineStr">
        <is>
          <t>2026-07-17</t>
        </is>
      </c>
      <c r="B9" s="5" t="n">
        <v>154.03</v>
      </c>
      <c r="C9" s="6">
        <f>B9/$B$4*100</f>
        <v/>
      </c>
      <c r="D9" s="8">
        <f>B9/B8-1</f>
        <v/>
      </c>
      <c r="E9" s="5" t="n">
        <v>848.95</v>
      </c>
      <c r="F9" s="6">
        <f>E9/$E$4*100</f>
        <v/>
      </c>
      <c r="G9" s="8">
        <f>E9/E8-1</f>
        <v/>
      </c>
    </row>
    <row r="10">
      <c r="A10" s="5" t="inlineStr">
        <is>
          <t>2026-07-20</t>
        </is>
      </c>
      <c r="B10" s="5" t="n">
        <v>151.16</v>
      </c>
      <c r="C10" s="6">
        <f>B10/$B$4*100</f>
        <v/>
      </c>
      <c r="D10" s="8">
        <f>B10/B9-1</f>
        <v/>
      </c>
      <c r="E10" s="5" t="n">
        <v>865.46</v>
      </c>
      <c r="F10" s="6">
        <f>E10/$E$4*100</f>
        <v/>
      </c>
      <c r="G10" s="8">
        <f>E10/E9-1</f>
        <v/>
      </c>
    </row>
    <row r="11">
      <c r="A11" s="5" t="inlineStr">
        <is>
          <t>2026-07-21</t>
        </is>
      </c>
      <c r="B11" s="5" t="n">
        <v>171.94</v>
      </c>
      <c r="C11" s="6">
        <f>B11/$B$4*100</f>
        <v/>
      </c>
      <c r="D11" s="8">
        <f>B11/B10-1</f>
        <v/>
      </c>
      <c r="E11" s="5" t="n">
        <v>970.8200000000001</v>
      </c>
      <c r="F11" s="6">
        <f>E11/$E$4*100</f>
        <v/>
      </c>
      <c r="G11" s="8">
        <f>E11/E10-1</f>
        <v/>
      </c>
    </row>
    <row r="12">
      <c r="A12" s="5" t="inlineStr">
        <is>
          <t>2026-07-22</t>
        </is>
      </c>
      <c r="B12" s="5" t="n">
        <v>165.27</v>
      </c>
      <c r="C12" s="6">
        <f>B12/$B$4*100</f>
        <v/>
      </c>
      <c r="D12" s="8">
        <f>B12/B11-1</f>
        <v/>
      </c>
      <c r="E12" s="5" t="n">
        <v>959.48</v>
      </c>
      <c r="F12" s="6">
        <f>E12/$E$4*100</f>
        <v/>
      </c>
      <c r="G12" s="8">
        <f>E12/E11-1</f>
        <v/>
      </c>
    </row>
    <row r="13">
      <c r="A13" s="5" t="inlineStr">
        <is>
          <t>2026-07-23</t>
        </is>
      </c>
      <c r="B13" s="5" t="n">
        <v>169.5</v>
      </c>
      <c r="C13" s="6">
        <f>B13/$B$4*100</f>
        <v/>
      </c>
      <c r="D13" s="8">
        <f>B13/B12-1</f>
        <v/>
      </c>
      <c r="E13" s="5" t="n">
        <v>990.21</v>
      </c>
      <c r="F13" s="6">
        <f>E13/$E$4*100</f>
        <v/>
      </c>
      <c r="G13" s="8">
        <f>E13/E12-1</f>
        <v/>
      </c>
    </row>
    <row r="14">
      <c r="A14" s="5" t="inlineStr">
        <is>
          <t>2026-07-24</t>
        </is>
      </c>
      <c r="B14" s="5" t="n">
        <v>154.57</v>
      </c>
      <c r="C14" s="6">
        <f>B14/$B$4*100</f>
        <v/>
      </c>
      <c r="D14" s="8">
        <f>B14/B13-1</f>
        <v/>
      </c>
      <c r="E14" s="5" t="n">
        <v>920.95</v>
      </c>
      <c r="F14" s="6">
        <f>E14/$E$4*100</f>
        <v/>
      </c>
      <c r="G14" s="8">
        <f>E14/E13-1</f>
        <v/>
      </c>
    </row>
    <row r="15">
      <c r="A15" s="5" t="inlineStr">
        <is>
          <t>2026-07-27</t>
        </is>
      </c>
      <c r="B15" s="5" t="n">
        <v>143.02</v>
      </c>
      <c r="C15" s="6">
        <f>B15/$B$4*100</f>
        <v/>
      </c>
      <c r="D15" s="8">
        <f>B15/B14-1</f>
        <v/>
      </c>
      <c r="E15" s="5" t="n">
        <v>900.2</v>
      </c>
      <c r="F15" s="6">
        <f>E15/$E$4*100</f>
        <v/>
      </c>
      <c r="G15" s="8">
        <f>E15/E14-1</f>
        <v/>
      </c>
    </row>
    <row r="16">
      <c r="A16" s="5" t="inlineStr">
        <is>
          <t>2026-07-28</t>
        </is>
      </c>
      <c r="B16" s="5" t="n">
        <v>130.17</v>
      </c>
      <c r="C16" s="6">
        <f>B16/$B$4*100</f>
        <v/>
      </c>
      <c r="D16" s="8">
        <f>B16/B15-1</f>
        <v/>
      </c>
      <c r="E16" s="5" t="n">
        <v>820.53</v>
      </c>
      <c r="F16" s="6">
        <f>E16/$E$4*100</f>
        <v/>
      </c>
      <c r="G16" s="8">
        <f>E16/E15-1</f>
        <v/>
      </c>
    </row>
    <row r="17">
      <c r="A17" s="5" t="inlineStr">
        <is>
          <t>2026-07-29</t>
        </is>
      </c>
      <c r="B17" s="5" t="n">
        <v>126.79</v>
      </c>
      <c r="C17" s="6">
        <f>B17/$B$4*100</f>
        <v/>
      </c>
      <c r="D17" s="8">
        <f>B17/B16-1</f>
        <v/>
      </c>
      <c r="E17" s="5" t="n">
        <v>739</v>
      </c>
      <c r="F17" s="6">
        <f>E17/$E$4*100</f>
        <v/>
      </c>
      <c r="G17" s="8">
        <f>E17/E16-1</f>
        <v/>
      </c>
    </row>
    <row r="18">
      <c r="A18" s="5" t="inlineStr">
        <is>
          <t>2026-07-30</t>
        </is>
      </c>
      <c r="B18" s="5" t="n">
        <v>149</v>
      </c>
      <c r="C18" s="6">
        <f>B18/$B$4*100</f>
        <v/>
      </c>
      <c r="D18" s="8">
        <f>B18/B17-1</f>
        <v/>
      </c>
      <c r="E18" s="5" t="n">
        <v>874.66</v>
      </c>
      <c r="F18" s="6">
        <f>E18/$E$4*100</f>
        <v/>
      </c>
      <c r="G18" s="8">
        <f>E18/E17-1</f>
        <v/>
      </c>
    </row>
    <row r="19">
      <c r="A19" s="5" t="inlineStr">
        <is>
          <t>2026-07-31</t>
        </is>
      </c>
      <c r="B19" s="5" t="n">
        <v>143.73</v>
      </c>
      <c r="C19" s="6">
        <f>B19/$B$4*100</f>
        <v/>
      </c>
      <c r="D19" s="8">
        <f>B19/B18-1</f>
        <v/>
      </c>
      <c r="E19" s="5" t="n">
        <v>823.03</v>
      </c>
      <c r="F19" s="6">
        <f>E19/$E$4*100</f>
        <v/>
      </c>
      <c r="G19" s="8">
        <f>E19/E18-1</f>
        <v/>
      </c>
    </row>
    <row r="20">
      <c r="A20" s="5" t="inlineStr">
        <is>
          <t>2026-08-03</t>
        </is>
      </c>
      <c r="B20" s="5" t="n">
        <v>142.72</v>
      </c>
      <c r="C20" s="6">
        <f>B20/$B$4*100</f>
        <v/>
      </c>
      <c r="D20" s="8">
        <f>B20/B19-1</f>
        <v/>
      </c>
      <c r="E20" s="5" t="n">
        <v>829.5</v>
      </c>
      <c r="F20" s="6">
        <f>E20/$E$4*100</f>
        <v/>
      </c>
      <c r="G20" s="8">
        <f>E20/E19-1</f>
        <v/>
      </c>
    </row>
    <row r="21">
      <c r="A21" s="5" t="inlineStr">
        <is>
          <t>2026-08-04</t>
        </is>
      </c>
      <c r="B21" s="5" t="n">
        <v>154.38</v>
      </c>
      <c r="C21" s="6">
        <f>B21/$B$4*100</f>
        <v/>
      </c>
      <c r="D21" s="8">
        <f>B21/B20-1</f>
        <v/>
      </c>
      <c r="E21" s="5" t="n">
        <v>892.67</v>
      </c>
      <c r="F21" s="6">
        <f>E21/$E$4*100</f>
        <v/>
      </c>
      <c r="G21" s="8">
        <f>E21/E20-1</f>
        <v/>
      </c>
    </row>
    <row r="22">
      <c r="A22" s="5" t="inlineStr">
        <is>
          <t>2026-08-05</t>
        </is>
      </c>
      <c r="B22" s="5" t="n">
        <v>151.03</v>
      </c>
      <c r="C22" s="6">
        <f>B22/$B$4*100</f>
        <v/>
      </c>
      <c r="D22" s="8">
        <f>B22/B21-1</f>
        <v/>
      </c>
      <c r="E22" s="5" t="n">
        <v>893.1900000000001</v>
      </c>
      <c r="F22" s="6">
        <f>E22/$E$4*100</f>
        <v/>
      </c>
      <c r="G22" s="8">
        <f>E22/E21-1</f>
        <v/>
      </c>
    </row>
    <row r="23">
      <c r="A23" s="5" t="inlineStr">
        <is>
          <t>2026-08-06</t>
        </is>
      </c>
      <c r="B23" s="5" t="n">
        <v>145.87</v>
      </c>
      <c r="C23" s="6">
        <f>B23/$B$4*100</f>
        <v/>
      </c>
      <c r="D23" s="8">
        <f>B23/B22-1</f>
        <v/>
      </c>
      <c r="E23" s="5" t="n">
        <v>898.97</v>
      </c>
      <c r="F23" s="6">
        <f>E23/$E$4*100</f>
        <v/>
      </c>
      <c r="G23" s="8">
        <f>E23/E22-1</f>
        <v/>
      </c>
    </row>
    <row r="25">
      <c r="A25" s="9" t="inlineStr">
        <is>
          <t>Why this window, why MU, and why this matters for the thesis</t>
        </is>
      </c>
    </row>
    <row r="26" ht="135" customHeight="1">
      <c r="A26" s="10" t="inlineStr">
        <is>
          <t>The window starts 10 July because that's SKHY's actual first trading day — SK Hynix's Nasdaq ADR listed that morning, so there is no earlier price history for this specific security to show; the index (column C) is set to 100 there, on day one, the normal convention, not on some later date chosen to flatter the result. MU (Micron) is the control group: a comparable, US-listed memory-chip maker riding the same global AI/memory demand cycle as SK Hynix, but with zero exposure to Korea's leveraged-ETF machinery, margin calls, or forced retail liquidations, because it isn't a Korean stock. If Korea-specific leverage were the main driver of SK Hynix's crash, MU should have barely moved over the same window. It didn't. The peak-to-trough stat below uses 14 July as the reference date for BOTH stocks — not because it's literally MU's own peak (MU actually closed slightly higher, at $990.21, on 23 July) but because 14 July is the real event date this whole story hinges on (Seoul -15%, the ADR +27%, same day). As a check: measured from MU's own true high on 23 July instead, its decline to the 29 July trough is -25.4% — barely different from the -24.8% below. The conclusion doesn't depend on which exact date you pick.</t>
        </is>
      </c>
    </row>
    <row r="28">
      <c r="A28" s="9" t="inlineStr">
        <is>
          <t>Same-window decline, 14 Jul to 29 Jul (see note above):</t>
        </is>
      </c>
      <c r="B28" s="9" t="inlineStr">
        <is>
          <t>SKHY drawdown</t>
        </is>
      </c>
      <c r="C28" s="11">
        <f>B17/B6-1</f>
        <v/>
      </c>
    </row>
    <row r="29">
      <c r="B29" s="9" t="inlineStr">
        <is>
          <t>MU drawdown (unlevered US peer, same window)</t>
        </is>
      </c>
      <c r="C29" s="11">
        <f>E17/E6-1</f>
        <v/>
      </c>
    </row>
    <row r="30">
      <c r="B30" s="9" t="inlineStr">
        <is>
          <t>Implied 'Korea-specific' incremental damage</t>
        </is>
      </c>
      <c r="C30" s="11">
        <f>C28-C29</f>
        <v/>
      </c>
    </row>
    <row r="32">
      <c r="A32" s="12" t="inlineStr">
        <is>
          <t>Chart follows the Timeline sheet's dates — see annotations there for what each move corresponds to.</t>
        </is>
      </c>
    </row>
    <row r="52">
      <c r="A52" s="9" t="inlineStr">
        <is>
          <t>Sources for the price data on this sheet</t>
        </is>
      </c>
    </row>
    <row r="53">
      <c r="A53" s="13" t="inlineStr">
        <is>
          <t>- SKHY and MU daily OHLCV — Twelve Data API (twelvedata.com), live-fetched 2026-08-07. Not a live feed: a dated snapshot.</t>
        </is>
      </c>
    </row>
    <row r="54">
      <c r="A54" s="13" t="inlineStr">
        <is>
          <t>- SK Hynix Seoul-listed shares -15.37% on 7/14 — Advisor Perspectives, https://www.advisorperspectives.com/articles/2026/07/13/sk-hynix-shares-plunge-record-deepening-korea-selloff</t>
        </is>
      </c>
    </row>
    <row r="55">
      <c r="A55" s="13" t="inlineStr">
        <is>
          <t>- KOSPI record +17.91% single-day gain, 7/31 — TradingKey, https://www.tradingkey.com/analysis/stocks/us-stocks/262067341-kospi-surged-17-9-percent-largest-single-day-gain-history-july-31-2026-tradingkey</t>
        </is>
      </c>
    </row>
    <row r="56">
      <c r="A56" s="13" t="inlineStr">
        <is>
          <t>- KOSPI all-time high 9,385.59 on 6/19 — IndMoney, https://www.indmoney.com/blog/us-stocks/kospi-index-crash-analysis</t>
        </is>
      </c>
    </row>
    <row r="57">
      <c r="A57" s="13" t="inlineStr">
        <is>
          <t>- SanDisk/Western Digital guidance miss driving the 8/6 selloff — TradingKey, https://www.tradingkey.com/analysis/stocks/us-stocks/262082159-us-stock-sndk-wdc-skhy-mu-ai-tradingkey</t>
        </is>
      </c>
    </row>
    <row r="58">
      <c r="A58" s="13" t="inlineStr">
        <is>
          <t>- Samsung -6.3% close, SK Hynix selloff, 8/6 — Korea JoongAng Daily, https://www.koreajoongangdaily.com/business/kospi-slides-over-4-as-tech-shares-take-a-tumble/12812355</t>
        </is>
      </c>
    </row>
  </sheetData>
  <mergeCells count="1">
    <mergeCell ref="A26:G2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42" customWidth="1" min="1" max="1"/>
    <col width="20" customWidth="1" min="2" max="2"/>
    <col width="55" customWidth="1" min="3" max="3"/>
  </cols>
  <sheetData>
    <row r="1">
      <c r="A1" s="1" t="inlineStr">
        <is>
          <t>The leverage machine underneath the crash</t>
        </is>
      </c>
    </row>
    <row r="3">
      <c r="A3" s="2" t="inlineStr">
        <is>
          <t>Metric</t>
        </is>
      </c>
      <c r="B3" s="2" t="inlineStr">
        <is>
          <t>Figure</t>
        </is>
      </c>
      <c r="C3" s="2" t="inlineStr">
        <is>
          <t>Source / note</t>
        </is>
      </c>
    </row>
    <row r="4">
      <c r="A4" s="4" t="inlineStr">
        <is>
          <t>Single-stock leveraged ETFs launched</t>
        </is>
      </c>
      <c r="B4" s="14" t="inlineStr">
        <is>
          <t>27 May 2026</t>
        </is>
      </c>
      <c r="C4" s="15" t="inlineStr">
        <is>
          <t>2x daily return products tied to Samsung / SK Hynix</t>
        </is>
      </c>
    </row>
    <row r="5">
      <c r="A5" s="4" t="inlineStr">
        <is>
          <t>Net retail purchases of leveraged ETFs</t>
        </is>
      </c>
      <c r="B5" s="14" t="inlineStr">
        <is>
          <t>~W14tn (~$9.4bn)</t>
        </is>
      </c>
      <c r="C5" s="15" t="inlineStr">
        <is>
          <t>vs. ~W2tn from foreign investors</t>
        </is>
      </c>
    </row>
    <row r="6">
      <c r="A6" s="4" t="inlineStr">
        <is>
          <t>Peak outstanding leveraged bets</t>
        </is>
      </c>
      <c r="B6" s="14" t="inlineStr">
        <is>
          <t>W29.2tn (~$19.7bn)</t>
        </is>
      </c>
      <c r="C6" s="15" t="inlineStr">
        <is>
          <t>Early July 2026</t>
        </is>
      </c>
    </row>
    <row r="7">
      <c r="A7" s="4" t="inlineStr">
        <is>
          <t>Retail accounts hitting margin calls</t>
        </is>
      </c>
      <c r="B7" s="14" t="inlineStr">
        <is>
          <t>1,200,000+</t>
        </is>
      </c>
      <c r="C7" s="15" t="inlineStr">
        <is>
          <t>As of 13 July 2026</t>
        </is>
      </c>
    </row>
    <row r="8">
      <c r="A8" s="4" t="inlineStr">
        <is>
          <t>Accounts forcibly liquidated</t>
        </is>
      </c>
      <c r="B8" s="14" t="inlineStr">
        <is>
          <t>320,000 - 360,000</t>
        </is>
      </c>
      <c r="C8" s="15" t="inlineStr">
        <is>
          <t>As of mid-July 2026</t>
        </is>
      </c>
    </row>
    <row r="9">
      <c r="A9" s="4" t="inlineStr">
        <is>
          <t>Total forced liquidation value</t>
        </is>
      </c>
      <c r="B9" s="14" t="inlineStr">
        <is>
          <t>W2.3tn</t>
        </is>
      </c>
      <c r="C9" s="15" t="inlineStr">
        <is>
          <t>Over ~2.5 months</t>
        </is>
      </c>
    </row>
    <row r="10">
      <c r="A10" s="4" t="inlineStr">
        <is>
          <t>New minimum deposit for leveraged investors (post-crisis)</t>
        </is>
      </c>
      <c r="B10" s="14" t="inlineStr">
        <is>
          <t>W30m (~$20,000)</t>
        </is>
      </c>
      <c r="C10" s="15" t="inlineStr">
        <is>
          <t>Tripled by the FSC, late July 2026</t>
        </is>
      </c>
    </row>
    <row r="11">
      <c r="A11" s="4" t="inlineStr">
        <is>
          <t>KOSPI single 2-day value wipeout</t>
        </is>
      </c>
      <c r="B11" s="14" t="inlineStr">
        <is>
          <t>W864.5tn</t>
        </is>
      </c>
      <c r="C11" s="15" t="inlineStr">
        <is>
          <t>Triggered the 29 July emergency government meeting</t>
        </is>
      </c>
    </row>
    <row r="12">
      <c r="A12" s="4" t="inlineStr">
        <is>
          <t>President Lee Jae-myung disapproval rating</t>
        </is>
      </c>
      <c r="B12" s="14" t="inlineStr">
        <is>
          <t>&gt;50%</t>
        </is>
      </c>
      <c r="C12" s="15" t="inlineStr">
        <is>
          <t>First time in his term, per BigGo Finance / Bloombit reporting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0" customWidth="1" min="1" max="1"/>
    <col width="60" customWidth="1" min="2" max="2"/>
    <col width="60" customWidth="1" min="3" max="3"/>
  </cols>
  <sheetData>
    <row r="1">
      <c r="A1" s="1" t="inlineStr">
        <is>
          <t>The case for and against</t>
        </is>
      </c>
    </row>
    <row r="3">
      <c r="A3" s="2" t="inlineStr">
        <is>
          <t>Theme</t>
        </is>
      </c>
      <c r="B3" s="2" t="inlineStr">
        <is>
          <t>Bull case</t>
        </is>
      </c>
      <c r="C3" s="2" t="inlineStr">
        <is>
          <t>Bear case</t>
        </is>
      </c>
    </row>
    <row r="4" ht="70" customHeight="1">
      <c r="A4" s="16" t="inlineStr">
        <is>
          <t>SK Hynix Q2 result</t>
        </is>
      </c>
      <c r="B4" s="17" t="inlineStr">
        <is>
          <t>Revenue W79.32tn, +257% YoY, 76% operating margin — a genuine record quarter. 'Miss' vs. consensus (~W84tn) was a shipment-timing issue (HBM4 recognition slipping to Q3), not a demand problem.</t>
        </is>
      </c>
      <c r="C4" s="18" t="inlineStr">
        <is>
          <t>Even a record quarter missed elevated Street expectations — a real sign the market had priced in near-perfection, leaving no room for anything less.</t>
        </is>
      </c>
    </row>
    <row r="5" ht="70" customHeight="1">
      <c r="A5" s="16" t="inlineStr">
        <is>
          <t>Underlying AI demand</t>
        </is>
      </c>
      <c r="B5" s="17" t="inlineStr">
        <is>
          <t>Hyperscaler 2026 capex guidance: Amazon $200bn, Alphabet $175-185bn, Meta $115-135bn, Microsoft $190bn — $725bn combined, +77% YoY. Evercore/BofA model &gt;$1tn combined for 2027. S&amp;P Global's July PMI showed the fastest tech-equipment output growth since May 2021.</t>
        </is>
      </c>
      <c r="C5" s="18" t="inlineStr">
        <is>
          <t>Crowding and leverage across the whole AI trade (not just Korea) means positioning, not fundamentals, is doing a lot of the work in the price — a similar unwind could happen anywhere sentiment cracks next.</t>
        </is>
      </c>
    </row>
    <row r="6" ht="70" customHeight="1">
      <c r="A6" s="16" t="inlineStr">
        <is>
          <t>Analyst / investor commentary</t>
        </is>
      </c>
      <c r="B6" s="17" t="inlineStr">
        <is>
          <t>J.P. Morgan (6 Aug note): the sell-off 'had not derailed' the AI investment cycle; 'we do not see any fundamental indicators that signal meaningful weakness in the next 6-12 months.'</t>
        </is>
      </c>
      <c r="C6" s="18" t="inlineStr">
        <is>
          <t>Michael Burry (4 Aug Substack): 'I continue to believe it is possible we are near a major top, and possibly a 1987-type fall.'</t>
        </is>
      </c>
    </row>
    <row r="7" ht="70" customHeight="1">
      <c r="A7" s="16" t="inlineStr">
        <is>
          <t>China competitive threat</t>
        </is>
      </c>
      <c r="B7" s="17" t="inlineStr">
        <is>
          <t>Currently immaterial in scale: ~5 domestic DUV units expected in 2026 vs. ASML's ~130 immersion systems; China's tools reportedly still lag ASML's technology.</t>
        </is>
      </c>
      <c r="C7" s="18" t="inlineStr">
        <is>
          <t>A real, credible first step toward Chinese self-sufficiency in a category it has never mass-produced before — a genuine multi-year strategic risk even if not a 2026-2027 supply/demand issue.</t>
        </is>
      </c>
    </row>
    <row r="8" ht="70" customHeight="1">
      <c r="A8" s="16" t="inlineStr">
        <is>
          <t>2027-2028 capacity</t>
        </is>
      </c>
      <c r="B8" s="17" t="inlineStr">
        <is>
          <t>New capacity gives SK Hynix/Samsung/Micron room to keep growing into real, still-accelerating demand.</t>
        </is>
      </c>
      <c r="C8" s="18" t="inlineStr">
        <is>
          <t>Samsung, SK Hynix, Micron and Kioxia are all adding capacity simultaneously, due to reach volume in late 2027/2028 — right as hyperscaler capex growth may naturally decelerate off this year's exceptional base. The same setup that has ended every prior memory cycle.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2026-08-07T02:37:20Z</dcterms:created>
  <dcterms:modified xsi:type="dcterms:W3CDTF">2026-08-07T02:37:20Z</dcterms:modified>
</cp:coreProperties>
</file>