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Timeline" sheetId="2" state="visible" r:id="rId2"/>
    <sheet name="Price Data" sheetId="3" state="visible" r:id="rId3"/>
    <sheet name="Leverage Data" sheetId="4" state="visible" r:id="rId4"/>
    <sheet name="Bull vs Bear" sheetId="5" state="visible" r:id="rId5"/>
    <sheet name="Sourc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Arial"/>
      <b val="1"/>
      <color rgb="001F4E78"/>
      <sz val="14"/>
    </font>
    <font>
      <name val="Arial"/>
      <i val="1"/>
      <color rgb="00595959"/>
      <sz val="9"/>
    </font>
    <font>
      <name val="Arial"/>
      <color rgb="00000000"/>
      <sz val="10"/>
    </font>
    <font>
      <name val="Arial"/>
      <color rgb="00404040"/>
      <sz val="10"/>
    </font>
    <font>
      <name val="Arial"/>
      <b val="1"/>
      <color rgb="00FFFFFF"/>
      <sz val="10"/>
    </font>
    <font>
      <name val="Arial"/>
      <color rgb="001F4E78"/>
      <sz val="10"/>
    </font>
    <font>
      <name val="Arial"/>
      <b val="1"/>
      <color rgb="00000000"/>
      <sz val="10"/>
    </font>
    <font>
      <name val="Arial"/>
      <color rgb="00404040"/>
      <sz val="9"/>
    </font>
    <font>
      <name val="Arial"/>
      <color rgb="001B5E20"/>
      <sz val="10"/>
    </font>
    <font>
      <name val="Arial"/>
      <color rgb="00B71C1C"/>
      <sz val="10"/>
    </font>
    <font>
      <name val="Arial"/>
      <color rgb="001155CC"/>
      <sz val="9"/>
      <u val="single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6" fillId="0" borderId="1" pivotButton="0" quotePrefix="0" xfId="0"/>
    <xf numFmtId="0" fontId="3" fillId="0" borderId="1" pivotButton="0" quotePrefix="0" xfId="0"/>
    <xf numFmtId="0" fontId="0" fillId="0" borderId="1" pivotButton="0" quotePrefix="0" xfId="0"/>
    <xf numFmtId="164" fontId="3" fillId="0" borderId="1" pivotButton="0" quotePrefix="0" xfId="0"/>
    <xf numFmtId="0" fontId="7" fillId="0" borderId="0" pivotButton="0" quotePrefix="0" xfId="0"/>
    <xf numFmtId="164" fontId="3" fillId="3" borderId="0" pivotButton="0" quotePrefix="0" xfId="0"/>
    <xf numFmtId="0" fontId="8" fillId="0" borderId="0" pivotButton="0" quotePrefix="0" xfId="0"/>
    <xf numFmtId="0" fontId="6" fillId="3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0" fontId="9" fillId="0" borderId="1" applyAlignment="1" pivotButton="0" quotePrefix="0" xfId="0">
      <alignment vertical="top" wrapText="1"/>
    </xf>
    <xf numFmtId="0" fontId="10" fillId="0" borderId="1" applyAlignment="1" pivotButton="0" quotePrefix="0" xfId="0">
      <alignment vertical="top" wrapText="1"/>
    </xf>
    <xf numFmtId="0" fontId="11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SKHY (SK Hynix ADR) vs. MU (Micron), indexed to 100 on 2026-07-14</a:t>
            </a:r>
          </a:p>
        </rich>
      </tx>
    </title>
    <plotArea>
      <lineChart>
        <grouping val="standard"/>
        <ser>
          <idx val="0"/>
          <order val="0"/>
          <tx>
            <strRef>
              <f>'Price Data'!C3</f>
            </strRef>
          </tx>
          <spPr>
            <a:ln>
              <a:solidFill>
                <a:srgbClr val="BC5B33"/>
              </a:solidFill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cat>
            <numRef>
              <f>'Price Data'!$A$4:$A$23</f>
            </numRef>
          </cat>
          <val>
            <numRef>
              <f>'Price Data'!$C$4:$C$23</f>
            </numRef>
          </val>
          <smooth val="0"/>
        </ser>
        <ser>
          <idx val="1"/>
          <order val="1"/>
          <tx>
            <strRef>
              <f>'Price Data'!F3</f>
            </strRef>
          </tx>
          <spPr>
            <a:ln>
              <a:solidFill>
                <a:srgbClr val="2F6F9F"/>
              </a:solidFill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cat>
            <numRef>
              <f>'Price Data'!$A$4:$A$23</f>
            </numRef>
          </cat>
          <val>
            <numRef>
              <f>'Price Data'!$F$4:$F$23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Indexed (7/14 = 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30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bloomberg.com/news/articles/2026-07-09/sk-hynix-is-said-to-price-us-share-offering-at-149-apiece-mrdz562z" TargetMode="External" Id="rId1" /><Relationship Type="http://schemas.openxmlformats.org/officeDocument/2006/relationships/hyperlink" Target="https://finance.yahoo.com/markets/stocks/articles/sk-hynix-nasdaq-debut-26-113118390.html" TargetMode="External" Id="rId2" /><Relationship Type="http://schemas.openxmlformats.org/officeDocument/2006/relationships/hyperlink" Target="https://www.koreajoongangdaily.com/business/capital-exodus-hits-kospi-after-sk-hynixs-blockbuster-nasdaq-debut/12769678" TargetMode="External" Id="rId3" /><Relationship Type="http://schemas.openxmlformats.org/officeDocument/2006/relationships/hyperlink" Target="https://www.cnbc.com/2026/07/20/give-me-my-money-back-south-korean-traders-leveraged-bets-unravel.html" TargetMode="External" Id="rId4" /><Relationship Type="http://schemas.openxmlformats.org/officeDocument/2006/relationships/hyperlink" Target="https://www.cnbc.com/2026/07/29/korea-leveraged-etf-kodex-sk-hynix.html" TargetMode="External" Id="rId5" /><Relationship Type="http://schemas.openxmlformats.org/officeDocument/2006/relationships/hyperlink" Target="https://finance.biggo.com/news/1046f613-8e0d-4326-bd38-2d90a094e2cb" TargetMode="External" Id="rId6" /><Relationship Type="http://schemas.openxmlformats.org/officeDocument/2006/relationships/hyperlink" Target="https://www.kucoin.com/news/flash/south-korea-s-kospi-index-plummets-23-in-july-2026-triggering-record-circuit-breakers" TargetMode="External" Id="rId7" /><Relationship Type="http://schemas.openxmlformats.org/officeDocument/2006/relationships/hyperlink" Target="https://finance.yahoo.com/markets/stocks/articles/south-korea-stock-market-crash-092957385.html" TargetMode="External" Id="rId8" /><Relationship Type="http://schemas.openxmlformats.org/officeDocument/2006/relationships/hyperlink" Target="https://www.tomshardware.com/tech-industry/semiconductors/china-begins-mass-production-of-domestic-immersion-duv-lithography-machines" TargetMode="External" Id="rId9" /><Relationship Type="http://schemas.openxmlformats.org/officeDocument/2006/relationships/hyperlink" Target="https://www.cnbc.com/2026/07/28/china-chipmaking-duv-tool-asml-explained.html" TargetMode="External" Id="rId10" /><Relationship Type="http://schemas.openxmlformats.org/officeDocument/2006/relationships/hyperlink" Target="https://news.skhynix.com/en/q2-2026-business-results/" TargetMode="External" Id="rId11" /><Relationship Type="http://schemas.openxmlformats.org/officeDocument/2006/relationships/hyperlink" Target="https://finance.biggo.com/news/KR_000660.KS_2026-07-28" TargetMode="External" Id="rId12" /><Relationship Type="http://schemas.openxmlformats.org/officeDocument/2006/relationships/hyperlink" Target="https://www.cnbc.com/2026/07/29/chip-selloff-sk-hynix-samsung-softbank.html" TargetMode="External" Id="rId13" /><Relationship Type="http://schemas.openxmlformats.org/officeDocument/2006/relationships/hyperlink" Target="https://www.cnbc.com/2026/08/06/asia-tech-selloff-wall-street-samsung-sk-hynix.html" TargetMode="External" Id="rId14" /><Relationship Type="http://schemas.openxmlformats.org/officeDocument/2006/relationships/hyperlink" Target="https://finance.yahoo.com/markets/world-indices/articles/south-korea-holds-emergency-meeting-103240901.html" TargetMode="External" Id="rId15" /><Relationship Type="http://schemas.openxmlformats.org/officeDocument/2006/relationships/hyperlink" Target="https://en.bloomingbit.io/feed/news/117526" TargetMode="External" Id="rId16" /><Relationship Type="http://schemas.openxmlformats.org/officeDocument/2006/relationships/hyperlink" Target="https://www.koreajoongangdaily.com/opinion/nps-becomes-an-amplifier-not-a-stabilizer/12782277" TargetMode="External" Id="rId17" /><Relationship Type="http://schemas.openxmlformats.org/officeDocument/2006/relationships/hyperlink" Target="https://en.sedaily.com/finance/2026/08/06/kospi-falls-to-6200-level-as-chip-giants-plunge-kosdaq" TargetMode="External" Id="rId18" /><Relationship Type="http://schemas.openxmlformats.org/officeDocument/2006/relationships/hyperlink" Target="https://aiweekly.co/alerts/amazon-microsoft-alphabet-meta-plan-725b-ai-capex-in-2026" TargetMode="External" Id="rId19" /><Relationship Type="http://schemas.openxmlformats.org/officeDocument/2006/relationships/hyperlink" Target="https://www.cnbc.com/2026/08/04/michael-burry-bets-against-rally-we-are-near-a-major-top.html" TargetMode="External" Id="rId20" /><Relationship Type="http://schemas.openxmlformats.org/officeDocument/2006/relationships/hyperlink" Target="https://www.cnbc.com/2026/08/06/asia-tech-sell-off-has-not-derailed-ai-investment-cycle-jp-morgan-says.html" TargetMode="External" Id="rId21" /><Relationship Type="http://schemas.openxmlformats.org/officeDocument/2006/relationships/hyperlink" Target="https://twelvedata.com (live-fetched 2026-08-07, see Price Data sheet)" TargetMode="External" Id="rId22" /><Relationship Type="http://schemas.openxmlformats.org/officeDocument/2006/relationships/hyperlink" Target="https://www.tradingkey.com/analysis/stocks/us-stocks/262067341-kospi-surged-17-9-percent-largest-single-day-gain-history-july-31-2026-tradingkey" TargetMode="External" Id="rId23" /><Relationship Type="http://schemas.openxmlformats.org/officeDocument/2006/relationships/hyperlink" Target="https://www.tradingkey.com/analysis/stocks/us-stocks/262082159-us-stock-sndk-wdc-skhy-mu-ai-tradingkey" TargetMode="External" Id="rId24" /><Relationship Type="http://schemas.openxmlformats.org/officeDocument/2006/relationships/hyperlink" Target="https://www.indmoney.com/blog/us-stocks/kospi-index-crash-analysis" TargetMode="External" Id="rId25" /><Relationship Type="http://schemas.openxmlformats.org/officeDocument/2006/relationships/hyperlink" Target="https://www.koreajoongangdaily.com/business/kospi-slides-over-4-as-tech-shares-take-a-tumble/12812355" TargetMode="External" Id="rId2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17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90" customWidth="1" min="3" max="3"/>
  </cols>
  <sheetData>
    <row r="2">
      <c r="B2" s="1" t="inlineStr">
        <is>
          <t>Korea's Leverage Crash — Data Workbook</t>
        </is>
      </c>
    </row>
    <row r="3">
      <c r="B3" s="2" t="inlineStr">
        <is>
          <t>SK Hynix, the KOSPI, and the July-August 2026 selloff — companion to the My Analysis write-up on bloombruh.com</t>
        </is>
      </c>
    </row>
    <row r="5">
      <c r="B5" s="3" t="inlineStr"/>
    </row>
    <row r="6">
      <c r="B6" s="3" t="inlineStr">
        <is>
          <t>What's in this workbook:</t>
        </is>
      </c>
    </row>
    <row r="7">
      <c r="B7" s="4" t="inlineStr">
        <is>
          <t xml:space="preserve">  Timeline        — the real, dated sequence of events, 10 July to 6 August 2026</t>
        </is>
      </c>
    </row>
    <row r="8">
      <c r="B8" s="4" t="inlineStr">
        <is>
          <t xml:space="preserve">  Price Data      — real daily closes for SKHY (SK Hynix ADR) and MU (Micron), fetched live via Twelve Data,</t>
        </is>
      </c>
    </row>
    <row r="9">
      <c r="B9" s="4" t="inlineStr">
        <is>
          <t xml:space="preserve">                    plus indexed and daily % change columns (live formulas, not hardcoded)</t>
        </is>
      </c>
    </row>
    <row r="10">
      <c r="B10" s="4" t="inlineStr">
        <is>
          <t xml:space="preserve">  Leverage Data   — the leveraged-ETF and margin-call figures behind the crash's Korea-specific severity</t>
        </is>
      </c>
    </row>
    <row r="11">
      <c r="B11" s="4" t="inlineStr">
        <is>
          <t xml:space="preserve">  Bull vs Bear    — the case for and against, in the same numbers used in the write-up</t>
        </is>
      </c>
    </row>
    <row r="12">
      <c r="B12" s="4" t="inlineStr">
        <is>
          <t xml:space="preserve">  Sources         — every source this workbook and the write-up draw on</t>
        </is>
      </c>
    </row>
    <row r="13">
      <c r="B13" s="3" t="inlineStr"/>
    </row>
    <row r="14">
      <c r="B14" s="3" t="inlineStr">
        <is>
          <t>Same discipline as every other model on this site: blue text is a hardcoded input (a real, sourced</t>
        </is>
      </c>
    </row>
    <row r="15">
      <c r="B15" s="3" t="inlineStr">
        <is>
          <t>number), black text is a formula, yellow fill marks a figure worth double-checking against the live</t>
        </is>
      </c>
    </row>
    <row r="16">
      <c r="B16" s="3" t="inlineStr">
        <is>
          <t>chart on the site if you're using this for your own work. Nothing here is a live feed — every number</t>
        </is>
      </c>
    </row>
    <row r="17">
      <c r="B17" s="3" t="inlineStr">
        <is>
          <t>is a dated snapshot as of 7 August 2026.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95" customWidth="1" min="2" max="2"/>
    <col width="14" customWidth="1" min="3" max="3"/>
  </cols>
  <sheetData>
    <row r="1">
      <c r="A1" s="1" t="inlineStr">
        <is>
          <t>Timeline — how the crash actually unfolded</t>
        </is>
      </c>
    </row>
    <row r="3">
      <c r="A3" s="5" t="inlineStr">
        <is>
          <t>Date</t>
        </is>
      </c>
      <c r="B3" s="5" t="inlineStr">
        <is>
          <t>Event</t>
        </is>
      </c>
      <c r="C3" s="5" t="inlineStr">
        <is>
          <t>Category</t>
        </is>
      </c>
    </row>
    <row r="4">
      <c r="A4" s="6" t="inlineStr">
        <is>
          <t>2026-04-28</t>
        </is>
      </c>
      <c r="B4" s="7" t="inlineStr">
        <is>
          <t>Korea amends ETF rules, raising single-stock concentration limit from 30% to 100% (previously required 10+ stocks)</t>
        </is>
      </c>
      <c r="C4" s="7" t="inlineStr">
        <is>
          <t>Policy</t>
        </is>
      </c>
    </row>
    <row r="5">
      <c r="A5" s="6" t="inlineStr">
        <is>
          <t>2026-05-27</t>
        </is>
      </c>
      <c r="B5" s="7" t="inlineStr">
        <is>
          <t>Single-stock leveraged ETFs (2x daily) tied to Samsung and SK Hynix begin trading in Korea</t>
        </is>
      </c>
      <c r="C5" s="7" t="inlineStr">
        <is>
          <t>Leverage</t>
        </is>
      </c>
    </row>
    <row r="6">
      <c r="A6" s="6" t="inlineStr">
        <is>
          <t>2026-06-19</t>
        </is>
      </c>
      <c r="B6" s="7" t="inlineStr">
        <is>
          <t>KOSPI closes at an all-time high of 9,385.59</t>
        </is>
      </c>
      <c r="C6" s="7" t="inlineStr">
        <is>
          <t>Index</t>
        </is>
      </c>
    </row>
    <row r="7">
      <c r="A7" s="6" t="inlineStr">
        <is>
          <t>2026-07-10</t>
        </is>
      </c>
      <c r="B7" s="7" t="inlineStr">
        <is>
          <t>SK Hynix completes $26.5bn Nasdaq ADR listing — largest US listing ever by a foreign company</t>
        </is>
      </c>
      <c r="C7" s="7" t="inlineStr">
        <is>
          <t>Listing</t>
        </is>
      </c>
    </row>
    <row r="8">
      <c r="A8" s="6" t="inlineStr">
        <is>
          <t>2026-07-13</t>
        </is>
      </c>
      <c r="B8" s="7" t="inlineStr">
        <is>
          <t>KOSPI down ~27% from its 19 June peak; outstanding leveraged bets peak near W29.2tn (~$19.7bn); 1.2m accounts hit margin calls</t>
        </is>
      </c>
      <c r="C8" s="7" t="inlineStr">
        <is>
          <t>Leverage</t>
        </is>
      </c>
    </row>
    <row r="9">
      <c r="A9" s="6" t="inlineStr">
        <is>
          <t>2026-07-14</t>
        </is>
      </c>
      <c r="B9" s="7" t="inlineStr">
        <is>
          <t>Seoul-listed SK Hynix common shares fall 15.37%; the new Nasdaq ADR rises 27% the SAME day</t>
        </is>
      </c>
      <c r="C9" s="7" t="inlineStr">
        <is>
          <t>Divergence</t>
        </is>
      </c>
    </row>
    <row r="10">
      <c r="A10" s="6" t="inlineStr">
        <is>
          <t>2026-07-20</t>
        </is>
      </c>
      <c r="B10" s="7" t="inlineStr">
        <is>
          <t>Bank of Korea raises rates into an already-fragile market</t>
        </is>
      </c>
      <c r="C10" s="7" t="inlineStr">
        <is>
          <t>Macro</t>
        </is>
      </c>
    </row>
    <row r="11">
      <c r="A11" s="6" t="inlineStr">
        <is>
          <t>2026-07-27</t>
        </is>
      </c>
      <c r="B11" s="7" t="inlineStr">
        <is>
          <t>China's Shanghai Aishengna reports mass production of homegrown immersion DUV lithography tools</t>
        </is>
      </c>
      <c r="C11" s="7" t="inlineStr">
        <is>
          <t>Competitive</t>
        </is>
      </c>
    </row>
    <row r="12">
      <c r="A12" s="6" t="inlineStr">
        <is>
          <t>2026-07-28</t>
        </is>
      </c>
      <c r="B12" s="7" t="inlineStr">
        <is>
          <t>SK Hynix reports Q2: revenue W79.32tn (+257% YoY), 76% operating margin — record quarter, missed ~W84tn consensus</t>
        </is>
      </c>
      <c r="C12" s="7" t="inlineStr">
        <is>
          <t>Earnings</t>
        </is>
      </c>
    </row>
    <row r="13">
      <c r="A13" s="6" t="inlineStr">
        <is>
          <t>2026-07-29</t>
        </is>
      </c>
      <c r="B13" s="7" t="inlineStr">
        <is>
          <t>Trough. SKHY ADR bottoms at $126.79. Government holds emergency market meeting after a 2-day W864.5tn wipeout</t>
        </is>
      </c>
      <c r="C13" s="7" t="inlineStr">
        <is>
          <t>Trough</t>
        </is>
      </c>
    </row>
    <row r="14">
      <c r="A14" s="6" t="inlineStr">
        <is>
          <t>2026-07-29</t>
        </is>
      </c>
      <c r="B14" s="7" t="inlineStr">
        <is>
          <t>FSC suspends new single-stock leveraged ETF listings, bans marketing, triples min. deposit to W30m</t>
        </is>
      </c>
      <c r="C14" s="7" t="inlineStr">
        <is>
          <t>Policy</t>
        </is>
      </c>
    </row>
    <row r="15">
      <c r="A15" s="6" t="inlineStr">
        <is>
          <t>2026-07-31</t>
        </is>
      </c>
      <c r="B15" s="7" t="inlineStr">
        <is>
          <t>KOSPI +17.91% - largest single-day % and point gain in its history (prior record: 11.95%, Oct 2008). Samsung +28%, SK Hynix +30%</t>
        </is>
      </c>
      <c r="C15" s="7" t="inlineStr">
        <is>
          <t>Record surge</t>
        </is>
      </c>
    </row>
    <row r="16">
      <c r="A16" s="6" t="inlineStr">
        <is>
          <t>2026-08-05</t>
        </is>
      </c>
      <c r="B16" s="7" t="inlineStr">
        <is>
          <t>KOSPI +3.76% to 6,598 on US-Iran deal hopes</t>
        </is>
      </c>
      <c r="C16" s="7" t="inlineStr">
        <is>
          <t>Rebound</t>
        </is>
      </c>
    </row>
    <row r="17">
      <c r="A17" s="6" t="inlineStr">
        <is>
          <t>2026-08-06</t>
        </is>
      </c>
      <c r="B17" s="7" t="inlineStr">
        <is>
          <t>KOSPI -4.58% to 6,296.38 - SanDisk/Western Digital beat estimates but missed on guidance, dragging SK Hynix (-9%) and Samsung (-6.3%) down in sympathy</t>
        </is>
      </c>
      <c r="C17" s="7" t="inlineStr">
        <is>
          <t>Fresh selloff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5" customWidth="1" min="2" max="2"/>
    <col width="20" customWidth="1" min="3" max="3"/>
    <col width="15" customWidth="1" min="4" max="4"/>
    <col width="13" customWidth="1" min="5" max="5"/>
    <col width="18" customWidth="1" min="6" max="6"/>
    <col width="14" customWidth="1" min="7" max="7"/>
  </cols>
  <sheetData>
    <row r="1">
      <c r="A1" s="1" t="inlineStr">
        <is>
          <t>Real daily closes — SKHY (SK Hynix ADR) vs. MU (Micron), fetched live via Twelve Data, 2026-08-07</t>
        </is>
      </c>
    </row>
    <row r="3">
      <c r="A3" s="5" t="inlineStr">
        <is>
          <t>Date</t>
        </is>
      </c>
      <c r="B3" s="5" t="inlineStr">
        <is>
          <t>SKHY Close ($)</t>
        </is>
      </c>
      <c r="C3" s="5" t="inlineStr">
        <is>
          <t>SKHY Indexed (7/14=100)</t>
        </is>
      </c>
      <c r="D3" s="5" t="inlineStr">
        <is>
          <t>SKHY Daily % Chg</t>
        </is>
      </c>
      <c r="E3" s="5" t="inlineStr">
        <is>
          <t>MU Close ($)</t>
        </is>
      </c>
      <c r="F3" s="5" t="inlineStr">
        <is>
          <t>MU Indexed (7/14=100)</t>
        </is>
      </c>
      <c r="G3" s="5" t="inlineStr">
        <is>
          <t>MU Daily % Chg</t>
        </is>
      </c>
    </row>
    <row r="4">
      <c r="A4" s="8" t="inlineStr">
        <is>
          <t>2026-07-10</t>
        </is>
      </c>
      <c r="B4" s="8" t="n">
        <v>168.01</v>
      </c>
      <c r="C4" s="9">
        <f>B4/$B$6*100</f>
        <v/>
      </c>
      <c r="D4" s="10" t="n"/>
      <c r="E4" s="8" t="n">
        <v>979.3</v>
      </c>
      <c r="F4" s="9">
        <f>E4/$E$6*100</f>
        <v/>
      </c>
      <c r="G4" s="10" t="n"/>
    </row>
    <row r="5">
      <c r="A5" s="8" t="inlineStr">
        <is>
          <t>2026-07-13</t>
        </is>
      </c>
      <c r="B5" s="8" t="n">
        <v>152.35</v>
      </c>
      <c r="C5" s="9">
        <f>B5/$B$6*100</f>
        <v/>
      </c>
      <c r="D5" s="11">
        <f>B5/B4-1</f>
        <v/>
      </c>
      <c r="E5" s="8" t="n">
        <v>937</v>
      </c>
      <c r="F5" s="9">
        <f>E5/$E$6*100</f>
        <v/>
      </c>
      <c r="G5" s="11">
        <f>E5/E4-1</f>
        <v/>
      </c>
    </row>
    <row r="6">
      <c r="A6" s="8" t="inlineStr">
        <is>
          <t>2026-07-14</t>
        </is>
      </c>
      <c r="B6" s="8" t="n">
        <v>193.92</v>
      </c>
      <c r="C6" s="9">
        <f>B6/$B$6*100</f>
        <v/>
      </c>
      <c r="D6" s="11">
        <f>B6/B5-1</f>
        <v/>
      </c>
      <c r="E6" s="8" t="n">
        <v>983.12</v>
      </c>
      <c r="F6" s="9">
        <f>E6/$E$6*100</f>
        <v/>
      </c>
      <c r="G6" s="11">
        <f>E6/E5-1</f>
        <v/>
      </c>
    </row>
    <row r="7">
      <c r="A7" s="8" t="inlineStr">
        <is>
          <t>2026-07-15</t>
        </is>
      </c>
      <c r="B7" s="8" t="n">
        <v>176.46</v>
      </c>
      <c r="C7" s="9">
        <f>B7/$B$6*100</f>
        <v/>
      </c>
      <c r="D7" s="11">
        <f>B7/B6-1</f>
        <v/>
      </c>
      <c r="E7" s="8" t="n">
        <v>904.28</v>
      </c>
      <c r="F7" s="9">
        <f>E7/$E$6*100</f>
        <v/>
      </c>
      <c r="G7" s="11">
        <f>E7/E6-1</f>
        <v/>
      </c>
    </row>
    <row r="8">
      <c r="A8" s="8" t="inlineStr">
        <is>
          <t>2026-07-16</t>
        </is>
      </c>
      <c r="B8" s="8" t="n">
        <v>152.31</v>
      </c>
      <c r="C8" s="9">
        <f>B8/$B$6*100</f>
        <v/>
      </c>
      <c r="D8" s="11">
        <f>B8/B7-1</f>
        <v/>
      </c>
      <c r="E8" s="8" t="n">
        <v>853.2</v>
      </c>
      <c r="F8" s="9">
        <f>E8/$E$6*100</f>
        <v/>
      </c>
      <c r="G8" s="11">
        <f>E8/E7-1</f>
        <v/>
      </c>
    </row>
    <row r="9">
      <c r="A9" s="8" t="inlineStr">
        <is>
          <t>2026-07-17</t>
        </is>
      </c>
      <c r="B9" s="8" t="n">
        <v>154.03</v>
      </c>
      <c r="C9" s="9">
        <f>B9/$B$6*100</f>
        <v/>
      </c>
      <c r="D9" s="11">
        <f>B9/B8-1</f>
        <v/>
      </c>
      <c r="E9" s="8" t="n">
        <v>848.95</v>
      </c>
      <c r="F9" s="9">
        <f>E9/$E$6*100</f>
        <v/>
      </c>
      <c r="G9" s="11">
        <f>E9/E8-1</f>
        <v/>
      </c>
    </row>
    <row r="10">
      <c r="A10" s="8" t="inlineStr">
        <is>
          <t>2026-07-20</t>
        </is>
      </c>
      <c r="B10" s="8" t="n">
        <v>151.16</v>
      </c>
      <c r="C10" s="9">
        <f>B10/$B$6*100</f>
        <v/>
      </c>
      <c r="D10" s="11">
        <f>B10/B9-1</f>
        <v/>
      </c>
      <c r="E10" s="8" t="n">
        <v>865.46</v>
      </c>
      <c r="F10" s="9">
        <f>E10/$E$6*100</f>
        <v/>
      </c>
      <c r="G10" s="11">
        <f>E10/E9-1</f>
        <v/>
      </c>
    </row>
    <row r="11">
      <c r="A11" s="8" t="inlineStr">
        <is>
          <t>2026-07-21</t>
        </is>
      </c>
      <c r="B11" s="8" t="n">
        <v>171.94</v>
      </c>
      <c r="C11" s="9">
        <f>B11/$B$6*100</f>
        <v/>
      </c>
      <c r="D11" s="11">
        <f>B11/B10-1</f>
        <v/>
      </c>
      <c r="E11" s="8" t="n">
        <v>970.8200000000001</v>
      </c>
      <c r="F11" s="9">
        <f>E11/$E$6*100</f>
        <v/>
      </c>
      <c r="G11" s="11">
        <f>E11/E10-1</f>
        <v/>
      </c>
    </row>
    <row r="12">
      <c r="A12" s="8" t="inlineStr">
        <is>
          <t>2026-07-22</t>
        </is>
      </c>
      <c r="B12" s="8" t="n">
        <v>165.27</v>
      </c>
      <c r="C12" s="9">
        <f>B12/$B$6*100</f>
        <v/>
      </c>
      <c r="D12" s="11">
        <f>B12/B11-1</f>
        <v/>
      </c>
      <c r="E12" s="8" t="n">
        <v>959.48</v>
      </c>
      <c r="F12" s="9">
        <f>E12/$E$6*100</f>
        <v/>
      </c>
      <c r="G12" s="11">
        <f>E12/E11-1</f>
        <v/>
      </c>
    </row>
    <row r="13">
      <c r="A13" s="8" t="inlineStr">
        <is>
          <t>2026-07-23</t>
        </is>
      </c>
      <c r="B13" s="8" t="n">
        <v>169.5</v>
      </c>
      <c r="C13" s="9">
        <f>B13/$B$6*100</f>
        <v/>
      </c>
      <c r="D13" s="11">
        <f>B13/B12-1</f>
        <v/>
      </c>
      <c r="E13" s="8" t="n">
        <v>990.21</v>
      </c>
      <c r="F13" s="9">
        <f>E13/$E$6*100</f>
        <v/>
      </c>
      <c r="G13" s="11">
        <f>E13/E12-1</f>
        <v/>
      </c>
    </row>
    <row r="14">
      <c r="A14" s="8" t="inlineStr">
        <is>
          <t>2026-07-24</t>
        </is>
      </c>
      <c r="B14" s="8" t="n">
        <v>154.57</v>
      </c>
      <c r="C14" s="9">
        <f>B14/$B$6*100</f>
        <v/>
      </c>
      <c r="D14" s="11">
        <f>B14/B13-1</f>
        <v/>
      </c>
      <c r="E14" s="8" t="n">
        <v>920.95</v>
      </c>
      <c r="F14" s="9">
        <f>E14/$E$6*100</f>
        <v/>
      </c>
      <c r="G14" s="11">
        <f>E14/E13-1</f>
        <v/>
      </c>
    </row>
    <row r="15">
      <c r="A15" s="8" t="inlineStr">
        <is>
          <t>2026-07-27</t>
        </is>
      </c>
      <c r="B15" s="8" t="n">
        <v>143.02</v>
      </c>
      <c r="C15" s="9">
        <f>B15/$B$6*100</f>
        <v/>
      </c>
      <c r="D15" s="11">
        <f>B15/B14-1</f>
        <v/>
      </c>
      <c r="E15" s="8" t="n">
        <v>900.2</v>
      </c>
      <c r="F15" s="9">
        <f>E15/$E$6*100</f>
        <v/>
      </c>
      <c r="G15" s="11">
        <f>E15/E14-1</f>
        <v/>
      </c>
    </row>
    <row r="16">
      <c r="A16" s="8" t="inlineStr">
        <is>
          <t>2026-07-28</t>
        </is>
      </c>
      <c r="B16" s="8" t="n">
        <v>130.17</v>
      </c>
      <c r="C16" s="9">
        <f>B16/$B$6*100</f>
        <v/>
      </c>
      <c r="D16" s="11">
        <f>B16/B15-1</f>
        <v/>
      </c>
      <c r="E16" s="8" t="n">
        <v>820.53</v>
      </c>
      <c r="F16" s="9">
        <f>E16/$E$6*100</f>
        <v/>
      </c>
      <c r="G16" s="11">
        <f>E16/E15-1</f>
        <v/>
      </c>
    </row>
    <row r="17">
      <c r="A17" s="8" t="inlineStr">
        <is>
          <t>2026-07-29</t>
        </is>
      </c>
      <c r="B17" s="8" t="n">
        <v>126.79</v>
      </c>
      <c r="C17" s="9">
        <f>B17/$B$6*100</f>
        <v/>
      </c>
      <c r="D17" s="11">
        <f>B17/B16-1</f>
        <v/>
      </c>
      <c r="E17" s="8" t="n">
        <v>739</v>
      </c>
      <c r="F17" s="9">
        <f>E17/$E$6*100</f>
        <v/>
      </c>
      <c r="G17" s="11">
        <f>E17/E16-1</f>
        <v/>
      </c>
    </row>
    <row r="18">
      <c r="A18" s="8" t="inlineStr">
        <is>
          <t>2026-07-30</t>
        </is>
      </c>
      <c r="B18" s="8" t="n">
        <v>149</v>
      </c>
      <c r="C18" s="9">
        <f>B18/$B$6*100</f>
        <v/>
      </c>
      <c r="D18" s="11">
        <f>B18/B17-1</f>
        <v/>
      </c>
      <c r="E18" s="8" t="n">
        <v>874.66</v>
      </c>
      <c r="F18" s="9">
        <f>E18/$E$6*100</f>
        <v/>
      </c>
      <c r="G18" s="11">
        <f>E18/E17-1</f>
        <v/>
      </c>
    </row>
    <row r="19">
      <c r="A19" s="8" t="inlineStr">
        <is>
          <t>2026-07-31</t>
        </is>
      </c>
      <c r="B19" s="8" t="n">
        <v>143.73</v>
      </c>
      <c r="C19" s="9">
        <f>B19/$B$6*100</f>
        <v/>
      </c>
      <c r="D19" s="11">
        <f>B19/B18-1</f>
        <v/>
      </c>
      <c r="E19" s="8" t="n">
        <v>823.03</v>
      </c>
      <c r="F19" s="9">
        <f>E19/$E$6*100</f>
        <v/>
      </c>
      <c r="G19" s="11">
        <f>E19/E18-1</f>
        <v/>
      </c>
    </row>
    <row r="20">
      <c r="A20" s="8" t="inlineStr">
        <is>
          <t>2026-08-03</t>
        </is>
      </c>
      <c r="B20" s="8" t="n">
        <v>142.72</v>
      </c>
      <c r="C20" s="9">
        <f>B20/$B$6*100</f>
        <v/>
      </c>
      <c r="D20" s="11">
        <f>B20/B19-1</f>
        <v/>
      </c>
      <c r="E20" s="8" t="n">
        <v>829.5</v>
      </c>
      <c r="F20" s="9">
        <f>E20/$E$6*100</f>
        <v/>
      </c>
      <c r="G20" s="11">
        <f>E20/E19-1</f>
        <v/>
      </c>
    </row>
    <row r="21">
      <c r="A21" s="8" t="inlineStr">
        <is>
          <t>2026-08-04</t>
        </is>
      </c>
      <c r="B21" s="8" t="n">
        <v>154.38</v>
      </c>
      <c r="C21" s="9">
        <f>B21/$B$6*100</f>
        <v/>
      </c>
      <c r="D21" s="11">
        <f>B21/B20-1</f>
        <v/>
      </c>
      <c r="E21" s="8" t="n">
        <v>892.67</v>
      </c>
      <c r="F21" s="9">
        <f>E21/$E$6*100</f>
        <v/>
      </c>
      <c r="G21" s="11">
        <f>E21/E20-1</f>
        <v/>
      </c>
    </row>
    <row r="22">
      <c r="A22" s="8" t="inlineStr">
        <is>
          <t>2026-08-05</t>
        </is>
      </c>
      <c r="B22" s="8" t="n">
        <v>151.03</v>
      </c>
      <c r="C22" s="9">
        <f>B22/$B$6*100</f>
        <v/>
      </c>
      <c r="D22" s="11">
        <f>B22/B21-1</f>
        <v/>
      </c>
      <c r="E22" s="8" t="n">
        <v>893.1900000000001</v>
      </c>
      <c r="F22" s="9">
        <f>E22/$E$6*100</f>
        <v/>
      </c>
      <c r="G22" s="11">
        <f>E22/E21-1</f>
        <v/>
      </c>
    </row>
    <row r="23">
      <c r="A23" s="8" t="inlineStr">
        <is>
          <t>2026-08-06</t>
        </is>
      </c>
      <c r="B23" s="8" t="n">
        <v>145.87</v>
      </c>
      <c r="C23" s="9">
        <f>B23/$B$6*100</f>
        <v/>
      </c>
      <c r="D23" s="11">
        <f>B23/B22-1</f>
        <v/>
      </c>
      <c r="E23" s="8" t="n">
        <v>898.97</v>
      </c>
      <c r="F23" s="9">
        <f>E23/$E$6*100</f>
        <v/>
      </c>
      <c r="G23" s="11">
        <f>E23/E22-1</f>
        <v/>
      </c>
    </row>
    <row r="26">
      <c r="A26" s="12" t="inlineStr">
        <is>
          <t>Peak (7/14) to trough (7/29):</t>
        </is>
      </c>
      <c r="B26" s="12" t="inlineStr">
        <is>
          <t>SKHY drawdown</t>
        </is>
      </c>
      <c r="C26" s="13">
        <f>B17/B6-1</f>
        <v/>
      </c>
    </row>
    <row r="27">
      <c r="B27" s="12" t="inlineStr">
        <is>
          <t>MU drawdown (unlevered US peer, same window)</t>
        </is>
      </c>
      <c r="C27" s="13">
        <f>E17/E6-1</f>
        <v/>
      </c>
    </row>
    <row r="28">
      <c r="B28" s="12" t="inlineStr">
        <is>
          <t>Implied 'Korea-specific' incremental damage</t>
        </is>
      </c>
      <c r="C28" s="13">
        <f>C26-C27</f>
        <v/>
      </c>
    </row>
    <row r="30">
      <c r="A30" s="2" t="inlineStr">
        <is>
          <t>Chart follows the Timeline sheet's dates — see annotations there for what each move corresponds to.</t>
        </is>
      </c>
    </row>
    <row r="50">
      <c r="A50" s="12" t="inlineStr">
        <is>
          <t>Sources for the price data on this sheet</t>
        </is>
      </c>
    </row>
    <row r="51">
      <c r="A51" s="14" t="inlineStr">
        <is>
          <t>- SKHY and MU daily OHLCV — Twelve Data API (twelvedata.com), live-fetched 2026-08-07. Not a live feed: a dated snapshot.</t>
        </is>
      </c>
    </row>
    <row r="52">
      <c r="A52" s="14" t="inlineStr">
        <is>
          <t>- SK Hynix Seoul-listed shares -15.37% on 7/14 — Advisor Perspectives, https://www.advisorperspectives.com/articles/2026/07/13/sk-hynix-shares-plunge-record-deepening-korea-selloff</t>
        </is>
      </c>
    </row>
    <row r="53">
      <c r="A53" s="14" t="inlineStr">
        <is>
          <t>- KOSPI record +17.91% single-day gain, 7/31 — TradingKey, https://www.tradingkey.com/analysis/stocks/us-stocks/262067341-kospi-surged-17-9-percent-largest-single-day-gain-history-july-31-2026-tradingkey</t>
        </is>
      </c>
    </row>
    <row r="54">
      <c r="A54" s="14" t="inlineStr">
        <is>
          <t>- KOSPI all-time high 9,385.59 on 6/19 — IndMoney, https://www.indmoney.com/blog/us-stocks/kospi-index-crash-analysis</t>
        </is>
      </c>
    </row>
    <row r="55">
      <c r="A55" s="14" t="inlineStr">
        <is>
          <t>- SanDisk/Western Digital guidance miss driving the 8/6 selloff — TradingKey, https://www.tradingkey.com/analysis/stocks/us-stocks/262082159-us-stock-sndk-wdc-skhy-mu-ai-tradingkey</t>
        </is>
      </c>
    </row>
    <row r="56">
      <c r="A56" s="14" t="inlineStr">
        <is>
          <t>- Samsung -6.3% close, SK Hynix selloff, 8/6 — Korea JoongAng Daily, https://www.koreajoongangdaily.com/business/kospi-slides-over-4-as-tech-shares-take-a-tumble/12812355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55" customWidth="1" min="3" max="3"/>
  </cols>
  <sheetData>
    <row r="1">
      <c r="A1" s="1" t="inlineStr">
        <is>
          <t>The leverage machine underneath the crash</t>
        </is>
      </c>
    </row>
    <row r="3">
      <c r="A3" s="5" t="inlineStr">
        <is>
          <t>Metric</t>
        </is>
      </c>
      <c r="B3" s="5" t="inlineStr">
        <is>
          <t>Figure</t>
        </is>
      </c>
      <c r="C3" s="5" t="inlineStr">
        <is>
          <t>Source / note</t>
        </is>
      </c>
    </row>
    <row r="4">
      <c r="A4" s="7" t="inlineStr">
        <is>
          <t>Single-stock leveraged ETFs launched</t>
        </is>
      </c>
      <c r="B4" s="15" t="inlineStr">
        <is>
          <t>27 May 2026</t>
        </is>
      </c>
      <c r="C4" s="16" t="inlineStr">
        <is>
          <t>2x daily return products tied to Samsung / SK Hynix</t>
        </is>
      </c>
    </row>
    <row r="5">
      <c r="A5" s="7" t="inlineStr">
        <is>
          <t>Net retail purchases of leveraged ETFs</t>
        </is>
      </c>
      <c r="B5" s="15" t="inlineStr">
        <is>
          <t>~W14tn (~$9.4bn)</t>
        </is>
      </c>
      <c r="C5" s="16" t="inlineStr">
        <is>
          <t>vs. ~W2tn from foreign investors</t>
        </is>
      </c>
    </row>
    <row r="6">
      <c r="A6" s="7" t="inlineStr">
        <is>
          <t>Peak outstanding leveraged bets</t>
        </is>
      </c>
      <c r="B6" s="15" t="inlineStr">
        <is>
          <t>W29.2tn (~$19.7bn)</t>
        </is>
      </c>
      <c r="C6" s="16" t="inlineStr">
        <is>
          <t>Early July 2026</t>
        </is>
      </c>
    </row>
    <row r="7">
      <c r="A7" s="7" t="inlineStr">
        <is>
          <t>Retail accounts hitting margin calls</t>
        </is>
      </c>
      <c r="B7" s="15" t="inlineStr">
        <is>
          <t>1,200,000+</t>
        </is>
      </c>
      <c r="C7" s="16" t="inlineStr">
        <is>
          <t>As of 13 July 2026</t>
        </is>
      </c>
    </row>
    <row r="8">
      <c r="A8" s="7" t="inlineStr">
        <is>
          <t>Accounts forcibly liquidated</t>
        </is>
      </c>
      <c r="B8" s="15" t="inlineStr">
        <is>
          <t>320,000 - 360,000</t>
        </is>
      </c>
      <c r="C8" s="16" t="inlineStr">
        <is>
          <t>As of mid-July 2026</t>
        </is>
      </c>
    </row>
    <row r="9">
      <c r="A9" s="7" t="inlineStr">
        <is>
          <t>Total forced liquidation value</t>
        </is>
      </c>
      <c r="B9" s="15" t="inlineStr">
        <is>
          <t>W2.3tn</t>
        </is>
      </c>
      <c r="C9" s="16" t="inlineStr">
        <is>
          <t>Over ~2.5 months</t>
        </is>
      </c>
    </row>
    <row r="10">
      <c r="A10" s="7" t="inlineStr">
        <is>
          <t>New minimum deposit for leveraged investors (post-crisis)</t>
        </is>
      </c>
      <c r="B10" s="15" t="inlineStr">
        <is>
          <t>W30m (~$20,000)</t>
        </is>
      </c>
      <c r="C10" s="16" t="inlineStr">
        <is>
          <t>Tripled by the FSC, late July 2026</t>
        </is>
      </c>
    </row>
    <row r="11">
      <c r="A11" s="7" t="inlineStr">
        <is>
          <t>KOSPI single 2-day value wipeout</t>
        </is>
      </c>
      <c r="B11" s="15" t="inlineStr">
        <is>
          <t>W864.5tn</t>
        </is>
      </c>
      <c r="C11" s="16" t="inlineStr">
        <is>
          <t>Triggered the 29 July emergency government meeting</t>
        </is>
      </c>
    </row>
    <row r="12">
      <c r="A12" s="7" t="inlineStr">
        <is>
          <t>President Lee Jae-myung disapproval rating</t>
        </is>
      </c>
      <c r="B12" s="15" t="inlineStr">
        <is>
          <t>&gt;50%</t>
        </is>
      </c>
      <c r="C12" s="16" t="inlineStr">
        <is>
          <t>First time in his term, per BigGo Finance / Bloombit reporting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cols>
    <col width="20" customWidth="1" min="1" max="1"/>
    <col width="60" customWidth="1" min="2" max="2"/>
    <col width="60" customWidth="1" min="3" max="3"/>
  </cols>
  <sheetData>
    <row r="1">
      <c r="A1" s="1" t="inlineStr">
        <is>
          <t>The case for and against</t>
        </is>
      </c>
    </row>
    <row r="3">
      <c r="A3" s="5" t="inlineStr">
        <is>
          <t>Theme</t>
        </is>
      </c>
      <c r="B3" s="5" t="inlineStr">
        <is>
          <t>Bull case</t>
        </is>
      </c>
      <c r="C3" s="5" t="inlineStr">
        <is>
          <t>Bear case</t>
        </is>
      </c>
    </row>
    <row r="4" ht="70" customHeight="1">
      <c r="A4" s="17" t="inlineStr">
        <is>
          <t>SK Hynix Q2 result</t>
        </is>
      </c>
      <c r="B4" s="18" t="inlineStr">
        <is>
          <t>Revenue W79.32tn, +257% YoY, 76% operating margin — a genuine record quarter. 'Miss' vs. consensus (~W84tn) was a shipment-timing issue (HBM4 recognition slipping to Q3), not a demand problem.</t>
        </is>
      </c>
      <c r="C4" s="19" t="inlineStr">
        <is>
          <t>Even a record quarter missed elevated Street expectations — a real sign the market had priced in near-perfection, leaving no room for anything less.</t>
        </is>
      </c>
    </row>
    <row r="5" ht="70" customHeight="1">
      <c r="A5" s="17" t="inlineStr">
        <is>
          <t>Underlying AI demand</t>
        </is>
      </c>
      <c r="B5" s="18" t="inlineStr">
        <is>
          <t>Hyperscaler 2026 capex guidance: Amazon $200bn, Alphabet $175-185bn, Meta $115-135bn, Microsoft $190bn — $725bn combined, +77% YoY. Evercore/BofA model &gt;$1tn combined for 2027. S&amp;P Global's July PMI showed the fastest tech-equipment output growth since May 2021.</t>
        </is>
      </c>
      <c r="C5" s="19" t="inlineStr">
        <is>
          <t>Crowding and leverage across the whole AI trade (not just Korea) means positioning, not fundamentals, is doing a lot of the work in the price — a similar unwind could happen anywhere sentiment cracks next.</t>
        </is>
      </c>
    </row>
    <row r="6" ht="70" customHeight="1">
      <c r="A6" s="17" t="inlineStr">
        <is>
          <t>Analyst / investor commentary</t>
        </is>
      </c>
      <c r="B6" s="18" t="inlineStr">
        <is>
          <t>J.P. Morgan (6 Aug note): the sell-off 'had not derailed' the AI investment cycle; 'we do not see any fundamental indicators that signal meaningful weakness in the next 6-12 months.'</t>
        </is>
      </c>
      <c r="C6" s="19" t="inlineStr">
        <is>
          <t>Michael Burry (4 Aug Substack): 'I continue to believe it is possible we are near a major top, and possibly a 1987-type fall.'</t>
        </is>
      </c>
    </row>
    <row r="7" ht="70" customHeight="1">
      <c r="A7" s="17" t="inlineStr">
        <is>
          <t>China competitive threat</t>
        </is>
      </c>
      <c r="B7" s="18" t="inlineStr">
        <is>
          <t>Currently immaterial in scale: ~5 domestic DUV units expected in 2026 vs. ASML's ~130 immersion systems; China's tools reportedly still lag ASML's technology.</t>
        </is>
      </c>
      <c r="C7" s="19" t="inlineStr">
        <is>
          <t>A real, credible first step toward Chinese self-sufficiency in a category it has never mass-produced before — a genuine multi-year strategic risk even if not a 2026-2027 supply/demand issue.</t>
        </is>
      </c>
    </row>
    <row r="8" ht="70" customHeight="1">
      <c r="A8" s="17" t="inlineStr">
        <is>
          <t>2027-2028 capacity</t>
        </is>
      </c>
      <c r="B8" s="18" t="inlineStr">
        <is>
          <t>New capacity gives SK Hynix/Samsung/Micron room to keep growing into real, still-accelerating demand.</t>
        </is>
      </c>
      <c r="C8" s="19" t="inlineStr">
        <is>
          <t>Samsung, SK Hynix, Micron and Kioxia are all adding capacity simultaneously, due to reach volume in late 2027/2028 — right as hyperscaler capex growth may naturally decelerate off this year's exceptional base. The same setup that has ended every prior memory cycle.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A1" sqref="A1"/>
    </sheetView>
  </sheetViews>
  <sheetFormatPr baseColWidth="8" defaultRowHeight="15"/>
  <cols>
    <col width="4" customWidth="1" min="1" max="1"/>
    <col width="48" customWidth="1" min="2" max="2"/>
    <col width="90" customWidth="1" min="3" max="3"/>
  </cols>
  <sheetData>
    <row r="1">
      <c r="A1" s="1" t="inlineStr">
        <is>
          <t>Sources</t>
        </is>
      </c>
    </row>
    <row r="3">
      <c r="A3" s="5" t="inlineStr">
        <is>
          <t>#</t>
        </is>
      </c>
      <c r="B3" s="5" t="inlineStr">
        <is>
          <t>Source</t>
        </is>
      </c>
      <c r="C3" s="5" t="inlineStr">
        <is>
          <t>URL</t>
        </is>
      </c>
    </row>
    <row r="4">
      <c r="A4" s="9" t="n">
        <v>1</v>
      </c>
      <c r="B4" s="9" t="inlineStr">
        <is>
          <t>SK Hynix Nasdaq debut pricing — Bloomberg</t>
        </is>
      </c>
      <c r="C4" s="20" t="inlineStr">
        <is>
          <t>https://www.bloomberg.com/news/articles/2026-07-09/sk-hynix-is-said-to-price-us-share-offering-at-149-apiece-mrdz562z</t>
        </is>
      </c>
    </row>
    <row r="5">
      <c r="A5" s="9" t="n">
        <v>2</v>
      </c>
      <c r="B5" s="9" t="inlineStr">
        <is>
          <t>SK Hynix Nasdaq debut sets record — Yahoo Finance</t>
        </is>
      </c>
      <c r="C5" s="20" t="inlineStr">
        <is>
          <t>https://finance.yahoo.com/markets/stocks/articles/sk-hynix-nasdaq-debut-26-113118390.html</t>
        </is>
      </c>
    </row>
    <row r="6">
      <c r="A6" s="9" t="n">
        <v>3</v>
      </c>
      <c r="B6" s="9" t="inlineStr">
        <is>
          <t>Capital exodus hits KOSPI after ADR debut — Korea JoongAng Daily</t>
        </is>
      </c>
      <c r="C6" s="20" t="inlineStr">
        <is>
          <t>https://www.koreajoongangdaily.com/business/capital-exodus-hits-kospi-after-sk-hynixs-blockbuster-nasdaq-debut/12769678</t>
        </is>
      </c>
    </row>
    <row r="7">
      <c r="A7" s="9" t="n">
        <v>4</v>
      </c>
      <c r="B7" s="9" t="inlineStr">
        <is>
          <t>Korean traders' leveraged bets unravel — CNBC</t>
        </is>
      </c>
      <c r="C7" s="20" t="inlineStr">
        <is>
          <t>https://www.cnbc.com/2026/07/20/give-me-my-money-back-south-korean-traders-leveraged-bets-unravel.html</t>
        </is>
      </c>
    </row>
    <row r="8">
      <c r="A8" s="9" t="n">
        <v>5</v>
      </c>
      <c r="B8" s="9" t="inlineStr">
        <is>
          <t>Minister apologizes, leveraged ETF losses — CNBC</t>
        </is>
      </c>
      <c r="C8" s="20" t="inlineStr">
        <is>
          <t>https://www.cnbc.com/2026/07/29/korea-leveraged-etf-kodex-sk-hynix.html</t>
        </is>
      </c>
    </row>
    <row r="9">
      <c r="A9" s="9" t="n">
        <v>6</v>
      </c>
      <c r="B9" s="9" t="inlineStr">
        <is>
          <t>1.2 million accounts hit margin calls — BigGo Finance</t>
        </is>
      </c>
      <c r="C9" s="20" t="inlineStr">
        <is>
          <t>https://finance.biggo.com/news/1046f613-8e0d-4326-bd38-2d90a094e2cb</t>
        </is>
      </c>
    </row>
    <row r="10">
      <c r="A10" s="9" t="n">
        <v>7</v>
      </c>
      <c r="B10" s="9" t="inlineStr">
        <is>
          <t>KOSPI plummets 23% in July, record circuit breakers — KuCoin</t>
        </is>
      </c>
      <c r="C10" s="20" t="inlineStr">
        <is>
          <t>https://www.kucoin.com/news/flash/south-korea-s-kospi-index-plummets-23-in-july-2026-triggering-record-circuit-breakers</t>
        </is>
      </c>
    </row>
    <row r="11">
      <c r="A11" s="9" t="n">
        <v>8</v>
      </c>
      <c r="B11" s="9" t="inlineStr">
        <is>
          <t>KOSPI crash worse than 1997 and 2008 — Yahoo Finance</t>
        </is>
      </c>
      <c r="C11" s="20" t="inlineStr">
        <is>
          <t>https://finance.yahoo.com/markets/stocks/articles/south-korea-stock-market-crash-092957385.html</t>
        </is>
      </c>
    </row>
    <row r="12">
      <c r="A12" s="9" t="n">
        <v>9</v>
      </c>
      <c r="B12" s="9" t="inlineStr">
        <is>
          <t>China begins mass-producing homegrown DUV tools — Tom's Hardware</t>
        </is>
      </c>
      <c r="C12" s="20" t="inlineStr">
        <is>
          <t>https://www.tomshardware.com/tech-industry/semiconductors/china-begins-mass-production-of-domestic-immersion-duv-lithography-machines</t>
        </is>
      </c>
    </row>
    <row r="13">
      <c r="A13" s="9" t="n">
        <v>10</v>
      </c>
      <c r="B13" s="9" t="inlineStr">
        <is>
          <t>China's chip breakthrough — the caveats — CNBC</t>
        </is>
      </c>
      <c r="C13" s="20" t="inlineStr">
        <is>
          <t>https://www.cnbc.com/2026/07/28/china-chipmaking-duv-tool-asml-explained.html</t>
        </is>
      </c>
    </row>
    <row r="14">
      <c r="A14" s="9" t="n">
        <v>11</v>
      </c>
      <c r="B14" s="9" t="inlineStr">
        <is>
          <t>SK hynix 2Q26 official results — SK hynix Newsroom</t>
        </is>
      </c>
      <c r="C14" s="20" t="inlineStr">
        <is>
          <t>https://news.skhynix.com/en/q2-2026-business-results/</t>
        </is>
      </c>
    </row>
    <row r="15">
      <c r="A15" s="9" t="n">
        <v>12</v>
      </c>
      <c r="B15" s="9" t="inlineStr">
        <is>
          <t>SK Hynix Q2 revenue +257% YoY — BigGo Finance</t>
        </is>
      </c>
      <c r="C15" s="20" t="inlineStr">
        <is>
          <t>https://finance.biggo.com/news/KR_000660.KS_2026-07-28</t>
        </is>
      </c>
    </row>
    <row r="16">
      <c r="A16" s="9" t="n">
        <v>13</v>
      </c>
      <c r="B16" s="9" t="inlineStr">
        <is>
          <t>Chip stocks shed $1tn in selloff — CNBC</t>
        </is>
      </c>
      <c r="C16" s="20" t="inlineStr">
        <is>
          <t>https://www.cnbc.com/2026/07/29/chip-selloff-sk-hynix-samsung-softbank.html</t>
        </is>
      </c>
    </row>
    <row r="17">
      <c r="A17" s="9" t="n">
        <v>14</v>
      </c>
      <c r="B17" s="9" t="inlineStr">
        <is>
          <t>Asian tech stocks drop, SK Hynix -10% — CNBC</t>
        </is>
      </c>
      <c r="C17" s="20" t="inlineStr">
        <is>
          <t>https://www.cnbc.com/2026/08/06/asia-tech-selloff-wall-street-samsung-sk-hynix.html</t>
        </is>
      </c>
    </row>
    <row r="18">
      <c r="A18" s="9" t="n">
        <v>15</v>
      </c>
      <c r="B18" s="9" t="inlineStr">
        <is>
          <t>Emergency meeting as W864tn leaves market — Yahoo Finance</t>
        </is>
      </c>
      <c r="C18" s="20" t="inlineStr">
        <is>
          <t>https://finance.yahoo.com/markets/world-indices/articles/south-korea-holds-emergency-meeting-103240901.html</t>
        </is>
      </c>
    </row>
    <row r="19">
      <c r="A19" s="9" t="n">
        <v>16</v>
      </c>
      <c r="B19" s="9" t="inlineStr">
        <is>
          <t>Kospi rout puts Lee government on alert — Bloomingbit</t>
        </is>
      </c>
      <c r="C19" s="20" t="inlineStr">
        <is>
          <t>https://en.bloomingbit.io/feed/news/117526</t>
        </is>
      </c>
    </row>
    <row r="20">
      <c r="A20" s="9" t="n">
        <v>17</v>
      </c>
      <c r="B20" s="9" t="inlineStr">
        <is>
          <t>NPS: an amplifier, not a stabilizer — Korea JoongAng Daily</t>
        </is>
      </c>
      <c r="C20" s="20" t="inlineStr">
        <is>
          <t>https://www.koreajoongangdaily.com/opinion/nps-becomes-an-amplifier-not-a-stabilizer/12782277</t>
        </is>
      </c>
    </row>
    <row r="21">
      <c r="A21" s="9" t="n">
        <v>18</v>
      </c>
      <c r="B21" s="9" t="inlineStr">
        <is>
          <t>KOSPI falls to 6,200 level, 6 August — Seoul Economic Daily</t>
        </is>
      </c>
      <c r="C21" s="20" t="inlineStr">
        <is>
          <t>https://en.sedaily.com/finance/2026/08/06/kospi-falls-to-6200-level-as-chip-giants-plunge-kosdaq</t>
        </is>
      </c>
    </row>
    <row r="22">
      <c r="A22" s="9" t="n">
        <v>19</v>
      </c>
      <c r="B22" s="9" t="inlineStr">
        <is>
          <t>Hyperscalers plan $725bn 2026 AI capex — AI Weekly</t>
        </is>
      </c>
      <c r="C22" s="20" t="inlineStr">
        <is>
          <t>https://aiweekly.co/alerts/amazon-microsoft-alphabet-meta-plan-725b-ai-capex-in-2026</t>
        </is>
      </c>
    </row>
    <row r="23">
      <c r="A23" s="9" t="n">
        <v>20</v>
      </c>
      <c r="B23" s="9" t="inlineStr">
        <is>
          <t>Michael Burry warns of 1987-type fall — CNBC</t>
        </is>
      </c>
      <c r="C23" s="20" t="inlineStr">
        <is>
          <t>https://www.cnbc.com/2026/08/04/michael-burry-bets-against-rally-we-are-near-a-major-top.html</t>
        </is>
      </c>
    </row>
    <row r="24">
      <c r="A24" s="9" t="n">
        <v>21</v>
      </c>
      <c r="B24" s="9" t="inlineStr">
        <is>
          <t>J.P. Morgan: AI investment cycle not derailed — CNBC</t>
        </is>
      </c>
      <c r="C24" s="20" t="inlineStr">
        <is>
          <t>https://www.cnbc.com/2026/08/06/asia-tech-sell-off-has-not-derailed-ai-investment-cycle-jp-morgan-says.html</t>
        </is>
      </c>
    </row>
    <row r="25">
      <c r="A25" s="9" t="n">
        <v>22</v>
      </c>
      <c r="B25" s="9" t="inlineStr">
        <is>
          <t>SKHY / MU daily price data — Twelve Data API</t>
        </is>
      </c>
      <c r="C25" s="20" t="inlineStr">
        <is>
          <t>https://twelvedata.com (live-fetched 2026-08-07, see Price Data sheet)</t>
        </is>
      </c>
    </row>
    <row r="26">
      <c r="A26" s="9" t="n">
        <v>23</v>
      </c>
      <c r="B26" s="9" t="inlineStr">
        <is>
          <t>KOSPI's record +17.91% single-day gain, 31 July — TradingKey</t>
        </is>
      </c>
      <c r="C26" s="20" t="inlineStr">
        <is>
          <t>https://www.tradingkey.com/analysis/stocks/us-stocks/262067341-kospi-surged-17-9-percent-largest-single-day-gain-history-july-31-2026-tradingkey</t>
        </is>
      </c>
    </row>
    <row r="27">
      <c r="A27" s="9" t="n">
        <v>24</v>
      </c>
      <c r="B27" s="9" t="inlineStr">
        <is>
          <t>SanDisk/Western Digital guidance miss drags SK Hynix, Micron — TradingKey</t>
        </is>
      </c>
      <c r="C27" s="20" t="inlineStr">
        <is>
          <t>https://www.tradingkey.com/analysis/stocks/us-stocks/262082159-us-stock-sndk-wdc-skhy-mu-ai-tradingkey</t>
        </is>
      </c>
    </row>
    <row r="28">
      <c r="A28" s="9" t="n">
        <v>25</v>
      </c>
      <c r="B28" s="9" t="inlineStr">
        <is>
          <t>KOSPI all-time high of 9,385.59 on 19 June — IndMoney</t>
        </is>
      </c>
      <c r="C28" s="20" t="inlineStr">
        <is>
          <t>https://www.indmoney.com/blog/us-stocks/kospi-index-crash-analysis</t>
        </is>
      </c>
    </row>
    <row r="29">
      <c r="A29" s="9" t="n">
        <v>26</v>
      </c>
      <c r="B29" s="9" t="inlineStr">
        <is>
          <t>KOSPI slides over 4% as tech shares tumble, 6 August — Korea JoongAng Daily</t>
        </is>
      </c>
      <c r="C29" s="20" t="inlineStr">
        <is>
          <t>https://www.koreajoongangdaily.com/business/kospi-slides-over-4-as-tech-shares-take-a-tumble/12812355</t>
        </is>
      </c>
    </row>
  </sheetData>
  <hyperlinks>
    <hyperlink xmlns:r="http://schemas.openxmlformats.org/officeDocument/2006/relationships" ref="C4" r:id="rId1"/>
    <hyperlink xmlns:r="http://schemas.openxmlformats.org/officeDocument/2006/relationships" ref="C5" r:id="rId2"/>
    <hyperlink xmlns:r="http://schemas.openxmlformats.org/officeDocument/2006/relationships" ref="C6" r:id="rId3"/>
    <hyperlink xmlns:r="http://schemas.openxmlformats.org/officeDocument/2006/relationships" ref="C7" r:id="rId4"/>
    <hyperlink xmlns:r="http://schemas.openxmlformats.org/officeDocument/2006/relationships" ref="C8" r:id="rId5"/>
    <hyperlink xmlns:r="http://schemas.openxmlformats.org/officeDocument/2006/relationships" ref="C9" r:id="rId6"/>
    <hyperlink xmlns:r="http://schemas.openxmlformats.org/officeDocument/2006/relationships" ref="C10" r:id="rId7"/>
    <hyperlink xmlns:r="http://schemas.openxmlformats.org/officeDocument/2006/relationships" ref="C11" r:id="rId8"/>
    <hyperlink xmlns:r="http://schemas.openxmlformats.org/officeDocument/2006/relationships" ref="C12" r:id="rId9"/>
    <hyperlink xmlns:r="http://schemas.openxmlformats.org/officeDocument/2006/relationships" ref="C13" r:id="rId10"/>
    <hyperlink xmlns:r="http://schemas.openxmlformats.org/officeDocument/2006/relationships" ref="C14" r:id="rId11"/>
    <hyperlink xmlns:r="http://schemas.openxmlformats.org/officeDocument/2006/relationships" ref="C15" r:id="rId12"/>
    <hyperlink xmlns:r="http://schemas.openxmlformats.org/officeDocument/2006/relationships" ref="C16" r:id="rId13"/>
    <hyperlink xmlns:r="http://schemas.openxmlformats.org/officeDocument/2006/relationships" ref="C17" r:id="rId14"/>
    <hyperlink xmlns:r="http://schemas.openxmlformats.org/officeDocument/2006/relationships" ref="C18" r:id="rId15"/>
    <hyperlink xmlns:r="http://schemas.openxmlformats.org/officeDocument/2006/relationships" ref="C19" r:id="rId16"/>
    <hyperlink xmlns:r="http://schemas.openxmlformats.org/officeDocument/2006/relationships" ref="C20" r:id="rId17"/>
    <hyperlink xmlns:r="http://schemas.openxmlformats.org/officeDocument/2006/relationships" ref="C21" r:id="rId18"/>
    <hyperlink xmlns:r="http://schemas.openxmlformats.org/officeDocument/2006/relationships" ref="C22" r:id="rId19"/>
    <hyperlink xmlns:r="http://schemas.openxmlformats.org/officeDocument/2006/relationships" ref="C23" r:id="rId20"/>
    <hyperlink xmlns:r="http://schemas.openxmlformats.org/officeDocument/2006/relationships" ref="C24" r:id="rId21"/>
    <hyperlink xmlns:r="http://schemas.openxmlformats.org/officeDocument/2006/relationships" ref="C25" r:id="rId22"/>
    <hyperlink xmlns:r="http://schemas.openxmlformats.org/officeDocument/2006/relationships" ref="C26" r:id="rId23"/>
    <hyperlink xmlns:r="http://schemas.openxmlformats.org/officeDocument/2006/relationships" ref="C27" r:id="rId24"/>
    <hyperlink xmlns:r="http://schemas.openxmlformats.org/officeDocument/2006/relationships" ref="C28" r:id="rId25"/>
    <hyperlink xmlns:r="http://schemas.openxmlformats.org/officeDocument/2006/relationships" ref="C29" r:id="rId26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2026-08-07T02:02:11Z</dcterms:created>
  <dcterms:modified xsi:type="dcterms:W3CDTF">2026-08-07T02:02:11Z</dcterms:modified>
</cp:coreProperties>
</file>